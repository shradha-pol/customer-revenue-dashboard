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E069FEC9-A90F-4A5B-B96B-BD4C041A21D2}" xr6:coauthVersionLast="47" xr6:coauthVersionMax="47" xr10:uidLastSave="{00000000-0000-0000-0000-000000000000}"/>
  <bookViews>
    <workbookView xWindow="-108" yWindow="-108" windowWidth="23256" windowHeight="12456" activeTab="3" xr2:uid="{5723C9F8-B070-4F89-A8AB-AB3B17C5AFA9}"/>
  </bookViews>
  <sheets>
    <sheet name="customer_revenue_db sales_data" sheetId="2" r:id="rId1"/>
    <sheet name="Pivot Table" sheetId="1" r:id="rId2"/>
    <sheet name="KPI" sheetId="3" r:id="rId3"/>
    <sheet name="Dashboard" sheetId="4" r:id="rId4"/>
  </sheets>
  <definedNames>
    <definedName name="_xlcn.WorksheetConnection_Customer_Revenue_Analysis_Dashboard.xlsxcustomer_revenue_db_sales_data1" hidden="1">customer_revenue_db_sales_data[]</definedName>
    <definedName name="ExternalData_1" localSheetId="0" hidden="1">'customer_revenue_db sales_data'!$A$1:$M$801</definedName>
    <definedName name="Slicer_product_category">#N/A</definedName>
    <definedName name="Slicer_region">#N/A</definedName>
    <definedName name="Slicer_segment">#N/A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revenue_db_sales_data" name="customer_revenue_db_sales_data" connection="WorksheetConnection_Customer_Revenue_Analysis_Dashboard.xlsx!customer_revenue_db_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3" l="1"/>
  <c r="A6" i="3"/>
  <c r="D6" i="3"/>
  <c r="G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D6F97-6853-4187-BBE0-C961D2DDB20F}" keepAlive="1" name="Query - customer_revenue_db sales_data" description="Connection to the 'customer_revenue_db sales_data' query in the workbook." type="5" refreshedVersion="8" background="1" saveData="1">
    <dbPr connection="Provider=Microsoft.Mashup.OleDb.1;Data Source=$Workbook$;Location=&quot;customer_revenue_db sales_data&quot;;Extended Properties=&quot;&quot;" command="SELECT * FROM [customer_revenue_db sales_data]"/>
  </connection>
  <connection id="2" xr16:uid="{76010106-10FC-4D4D-A9DD-559D3652C5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895AA3E-4BE8-4C42-8D7D-3752BC83419D}" name="WorksheetConnection_Customer_Revenue_Analysis_Dashboard.xlsx!customer_revenue_db_sales_data" type="102" refreshedVersion="8" minRefreshableVersion="5">
    <extLst>
      <ext xmlns:x15="http://schemas.microsoft.com/office/spreadsheetml/2010/11/main" uri="{DE250136-89BD-433C-8126-D09CA5730AF9}">
        <x15:connection id="customer_revenue_db_sales_data" autoDelete="1">
          <x15:rangePr sourceName="_xlcn.WorksheetConnection_Customer_Revenue_Analysis_Dashboard.xlsxcustomer_revenue_db_sales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ustomer_revenue_db_sales_data].[Revenue].[All]}"/>
  </metadataStrings>
  <mdxMetadata count="1">
    <mdx n="0" f="s">
      <ms ns="1" c="0"/>
    </mdx>
  </mdxMetadata>
  <valueMetadata count="1">
    <bk>
      <rc t="1" v="0"/>
    </bk>
  </valueMetadata>
</metadata>
</file>

<file path=xl/sharedStrings.xml><?xml version="1.0" encoding="utf-8"?>
<sst xmlns="http://schemas.openxmlformats.org/spreadsheetml/2006/main" count="5676" uniqueCount="891">
  <si>
    <t>order_id</t>
  </si>
  <si>
    <t>order_date</t>
  </si>
  <si>
    <t>customer_id</t>
  </si>
  <si>
    <t>customer_name</t>
  </si>
  <si>
    <t>segment</t>
  </si>
  <si>
    <t>region</t>
  </si>
  <si>
    <t>product_category</t>
  </si>
  <si>
    <t>sales</t>
  </si>
  <si>
    <t>quantity</t>
  </si>
  <si>
    <t>ORD0001</t>
  </si>
  <si>
    <t>C003</t>
  </si>
  <si>
    <t>Aman Gupta</t>
  </si>
  <si>
    <t>Corporate</t>
  </si>
  <si>
    <t>South</t>
  </si>
  <si>
    <t>Office Supplies</t>
  </si>
  <si>
    <t>ORD0002</t>
  </si>
  <si>
    <t>C007</t>
  </si>
  <si>
    <t>Kunal Shah</t>
  </si>
  <si>
    <t>North</t>
  </si>
  <si>
    <t>ORD0003</t>
  </si>
  <si>
    <t>C004</t>
  </si>
  <si>
    <t>Pooja Mehta</t>
  </si>
  <si>
    <t>West</t>
  </si>
  <si>
    <t>Electronics</t>
  </si>
  <si>
    <t>ORD0004</t>
  </si>
  <si>
    <t>East</t>
  </si>
  <si>
    <t>ORD0005</t>
  </si>
  <si>
    <t>C005</t>
  </si>
  <si>
    <t>Rohan Iyer</t>
  </si>
  <si>
    <t>Home Office</t>
  </si>
  <si>
    <t>ORD0006</t>
  </si>
  <si>
    <t>C013</t>
  </si>
  <si>
    <t>Kavita Singh</t>
  </si>
  <si>
    <t>ORD0007</t>
  </si>
  <si>
    <t>C014</t>
  </si>
  <si>
    <t>Arjun Malhotra</t>
  </si>
  <si>
    <t>Consumer</t>
  </si>
  <si>
    <t>ORD0008</t>
  </si>
  <si>
    <t>C009</t>
  </si>
  <si>
    <t>Vikram Rao</t>
  </si>
  <si>
    <t>Furniture</t>
  </si>
  <si>
    <t>ORD0009</t>
  </si>
  <si>
    <t>ORD0010</t>
  </si>
  <si>
    <t>C020</t>
  </si>
  <si>
    <t>Shweta Joshi</t>
  </si>
  <si>
    <t>ORD0011</t>
  </si>
  <si>
    <t>ORD0012</t>
  </si>
  <si>
    <t>C001</t>
  </si>
  <si>
    <t>Rahul Sharma</t>
  </si>
  <si>
    <t>ORD0013</t>
  </si>
  <si>
    <t>C002</t>
  </si>
  <si>
    <t>Neha Verma</t>
  </si>
  <si>
    <t>ORD0014</t>
  </si>
  <si>
    <t>C016</t>
  </si>
  <si>
    <t>Divya Kapoor</t>
  </si>
  <si>
    <t>ORD0015</t>
  </si>
  <si>
    <t>ORD0016</t>
  </si>
  <si>
    <t>ORD0017</t>
  </si>
  <si>
    <t>ORD0018</t>
  </si>
  <si>
    <t>ORD0019</t>
  </si>
  <si>
    <t>ORD0020</t>
  </si>
  <si>
    <t>C008</t>
  </si>
  <si>
    <t>Anjali Desai</t>
  </si>
  <si>
    <t>ORD0021</t>
  </si>
  <si>
    <t>C018</t>
  </si>
  <si>
    <t>Ritu Saxena</t>
  </si>
  <si>
    <t>ORD0022</t>
  </si>
  <si>
    <t>C006</t>
  </si>
  <si>
    <t>Sneha Kulkarni</t>
  </si>
  <si>
    <t>ORD0023</t>
  </si>
  <si>
    <t>ORD0024</t>
  </si>
  <si>
    <t>ORD0025</t>
  </si>
  <si>
    <t>ORD0026</t>
  </si>
  <si>
    <t>C012</t>
  </si>
  <si>
    <t>Suresh Patil</t>
  </si>
  <si>
    <t>ORD0027</t>
  </si>
  <si>
    <t>ORD0028</t>
  </si>
  <si>
    <t>C010</t>
  </si>
  <si>
    <t>Nitin Joshi</t>
  </si>
  <si>
    <t>ORD0029</t>
  </si>
  <si>
    <t>ORD0030</t>
  </si>
  <si>
    <t>ORD0031</t>
  </si>
  <si>
    <t>ORD0032</t>
  </si>
  <si>
    <t>ORD0033</t>
  </si>
  <si>
    <t>ORD0034</t>
  </si>
  <si>
    <t>ORD0035</t>
  </si>
  <si>
    <t>ORD0036</t>
  </si>
  <si>
    <t>ORD0037</t>
  </si>
  <si>
    <t>ORD0038</t>
  </si>
  <si>
    <t>C011</t>
  </si>
  <si>
    <t>Priya Nair</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</si>
  <si>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</si>
  <si>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</si>
  <si>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</si>
  <si>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</si>
  <si>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</si>
  <si>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</si>
  <si>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</si>
  <si>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</si>
  <si>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</si>
  <si>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</si>
  <si>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</si>
  <si>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</si>
  <si>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</si>
  <si>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</si>
  <si>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</si>
  <si>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</si>
  <si>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</si>
  <si>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</si>
  <si>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C015</t>
  </si>
  <si>
    <t>Mehul Jain</t>
  </si>
  <si>
    <t>ORD0057</t>
  </si>
  <si>
    <t>ORD0058</t>
  </si>
  <si>
    <t>ORD0059</t>
  </si>
  <si>
    <t>ORD0060</t>
  </si>
  <si>
    <t>ORD0061</t>
  </si>
  <si>
    <t>ORD0062</t>
  </si>
  <si>
    <t>ORD0063</t>
  </si>
  <si>
    <t>ORD0064</t>
  </si>
  <si>
    <t>ORD0065</t>
  </si>
  <si>
    <t>ORD0066</t>
  </si>
  <si>
    <t>ORD0067</t>
  </si>
  <si>
    <t>ORD0068</t>
  </si>
  <si>
    <t>C019</t>
  </si>
  <si>
    <t>Manish Khanna</t>
  </si>
  <si>
    <t>ORD0069</t>
  </si>
  <si>
    <t>ORD0070</t>
  </si>
  <si>
    <t>ORD0071</t>
  </si>
  <si>
    <t>ORD0072</t>
  </si>
  <si>
    <t>ORD0073</t>
  </si>
  <si>
    <t>ORD0074</t>
  </si>
  <si>
    <t>ORD0075</t>
  </si>
  <si>
    <t>ORD0076</t>
  </si>
  <si>
    <t>ORD0077</t>
  </si>
  <si>
    <t>ORD0078</t>
  </si>
  <si>
    <t>ORD0079</t>
  </si>
  <si>
    <t>ORD0080</t>
  </si>
  <si>
    <t>C017</t>
  </si>
  <si>
    <t>Aakash Kulkarni</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</si>
  <si>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</si>
  <si>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</si>
  <si>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</si>
  <si>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</si>
  <si>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</si>
  <si>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</si>
  <si>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</si>
  <si>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</si>
  <si>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</si>
  <si>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</si>
  <si>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</si>
  <si>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</si>
  <si>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</si>
  <si>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</si>
  <si>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</si>
  <si>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</si>
  <si>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</si>
  <si>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</si>
  <si>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</si>
  <si>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</si>
  <si>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</si>
  <si>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</si>
  <si>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</si>
  <si>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</si>
  <si>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</si>
  <si>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</si>
  <si>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</si>
  <si>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</si>
  <si>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</si>
  <si>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</si>
  <si>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</si>
  <si>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</si>
  <si>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</si>
  <si>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</si>
  <si>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</si>
  <si>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</si>
  <si>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</si>
  <si>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</si>
  <si>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</si>
  <si>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</si>
  <si>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</si>
  <si>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</si>
  <si>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</si>
  <si>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</si>
  <si>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</si>
  <si>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</si>
  <si>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</si>
  <si>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</si>
  <si>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</si>
  <si>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</si>
  <si>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</si>
  <si>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</si>
  <si>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</si>
  <si>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</si>
  <si>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</si>
  <si>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</si>
  <si>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</si>
  <si>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</si>
  <si>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</si>
  <si>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</si>
  <si>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</si>
  <si>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</si>
  <si>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</si>
  <si>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</si>
  <si>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</si>
  <si>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</si>
  <si>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</si>
  <si>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</si>
  <si>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</si>
  <si>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</si>
  <si>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</si>
  <si>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</si>
  <si>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</si>
  <si>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</si>
  <si>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</si>
  <si>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</si>
  <si>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</si>
  <si>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</si>
  <si>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</si>
  <si>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</si>
  <si>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</si>
  <si>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</si>
  <si>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</si>
  <si>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</si>
  <si>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</si>
  <si>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</si>
  <si>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</si>
  <si>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</si>
  <si>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</si>
  <si>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</si>
  <si>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</si>
  <si>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</si>
  <si>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</si>
  <si>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</si>
  <si>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</si>
  <si>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</si>
  <si>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</si>
  <si>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</si>
  <si>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</si>
  <si>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</si>
  <si>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</si>
  <si>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</si>
  <si>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</si>
  <si>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</si>
  <si>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</si>
  <si>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</si>
  <si>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</si>
  <si>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</si>
  <si>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</si>
  <si>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</si>
  <si>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</si>
  <si>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</si>
  <si>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</si>
  <si>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</si>
  <si>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</si>
  <si>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</si>
  <si>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</si>
  <si>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</si>
  <si>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</si>
  <si>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</si>
  <si>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</si>
  <si>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</si>
  <si>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</si>
  <si>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</si>
  <si>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</si>
  <si>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</si>
  <si>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</si>
  <si>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</si>
  <si>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</si>
  <si>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</si>
  <si>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</si>
  <si>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</si>
  <si>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</si>
  <si>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</si>
  <si>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</si>
  <si>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</si>
  <si>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</si>
  <si>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</si>
  <si>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</si>
  <si>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</si>
  <si>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</si>
  <si>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</si>
  <si>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</si>
  <si>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</si>
  <si>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</si>
  <si>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</si>
  <si>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</si>
  <si>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</si>
  <si>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</si>
  <si>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</si>
  <si>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</si>
  <si>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</si>
  <si>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</si>
  <si>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</si>
  <si>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</si>
  <si>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</si>
  <si>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</si>
  <si>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</si>
  <si>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</si>
  <si>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</si>
  <si>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</si>
  <si>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</si>
  <si>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</si>
  <si>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</si>
  <si>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</si>
  <si>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</si>
  <si>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</si>
  <si>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</si>
  <si>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</si>
  <si>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</si>
  <si>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</si>
  <si>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</si>
  <si>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</si>
  <si>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</si>
  <si>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</si>
  <si>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</si>
  <si>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</si>
  <si>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</si>
  <si>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</si>
  <si>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</si>
  <si>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</si>
  <si>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</si>
  <si>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</si>
  <si>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</si>
  <si>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</si>
  <si>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</si>
  <si>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</si>
  <si>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</si>
  <si>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</si>
  <si>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</si>
  <si>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</si>
  <si>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</si>
  <si>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</si>
  <si>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</si>
  <si>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</si>
  <si>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</si>
  <si>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</si>
  <si>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</si>
  <si>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</si>
  <si>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</si>
  <si>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</si>
  <si>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</si>
  <si>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</si>
  <si>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</si>
  <si>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</si>
  <si>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</si>
  <si>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</si>
  <si>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</si>
  <si>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</si>
  <si>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</si>
  <si>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</si>
  <si>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</si>
  <si>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</si>
  <si>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</si>
  <si>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</si>
  <si>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</si>
  <si>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</si>
  <si>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</si>
  <si>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</si>
  <si>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</si>
  <si>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</si>
  <si>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</si>
  <si>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</si>
  <si>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</si>
  <si>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</si>
  <si>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</si>
  <si>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</si>
  <si>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</si>
  <si>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</si>
  <si>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</si>
  <si>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</si>
  <si>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</si>
  <si>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</si>
  <si>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</si>
  <si>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</si>
  <si>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</si>
  <si>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</si>
  <si>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</si>
  <si>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</si>
  <si>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</si>
  <si>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</si>
  <si>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</si>
  <si>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</si>
  <si>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</si>
  <si>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</si>
  <si>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</si>
  <si>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</si>
  <si>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</si>
  <si>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</si>
  <si>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</si>
  <si>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</si>
  <si>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</si>
  <si>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</si>
  <si>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</si>
  <si>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</si>
  <si>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</si>
  <si>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</si>
  <si>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</si>
  <si>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</si>
  <si>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</si>
  <si>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</si>
  <si>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</si>
  <si>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</si>
  <si>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</si>
  <si>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</si>
  <si>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</si>
  <si>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</si>
  <si>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</si>
  <si>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</si>
  <si>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</si>
  <si>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</si>
  <si>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</si>
  <si>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</si>
  <si>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</si>
  <si>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</si>
  <si>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</si>
  <si>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</si>
  <si>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</si>
  <si>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</si>
  <si>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</si>
  <si>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</si>
  <si>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</si>
  <si>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</si>
  <si>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</si>
  <si>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</si>
  <si>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</si>
  <si>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</si>
  <si>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</si>
  <si>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</si>
  <si>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</si>
  <si>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</si>
  <si>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</si>
  <si>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</si>
  <si>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</si>
  <si>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</si>
  <si>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</si>
  <si>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</si>
  <si>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</si>
  <si>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</si>
  <si>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</si>
  <si>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</si>
  <si>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</si>
  <si>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</si>
  <si>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</si>
  <si>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</si>
  <si>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</si>
  <si>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</si>
  <si>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</si>
  <si>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</si>
  <si>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</si>
  <si>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</si>
  <si>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</si>
  <si>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</si>
  <si>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</si>
  <si>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</si>
  <si>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</si>
  <si>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</si>
  <si>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</si>
  <si>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</si>
  <si>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</si>
  <si>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</si>
  <si>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</si>
  <si>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</si>
  <si>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</si>
  <si>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</si>
  <si>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</si>
  <si>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</si>
  <si>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</si>
  <si>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</si>
  <si>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</si>
  <si>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</si>
  <si>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</si>
  <si>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</si>
  <si>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</si>
  <si>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</si>
  <si>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</si>
  <si>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</si>
  <si>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</si>
  <si>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</si>
  <si>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</si>
  <si>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</si>
  <si>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</si>
  <si>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</si>
  <si>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</si>
  <si>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</si>
  <si>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</si>
  <si>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</si>
  <si>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</si>
  <si>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</si>
  <si>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</si>
  <si>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</si>
  <si>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</si>
  <si>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</si>
  <si>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</si>
  <si>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</si>
  <si>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</si>
  <si>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</si>
  <si>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</si>
  <si>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</si>
  <si>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</si>
  <si>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</si>
  <si>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</si>
  <si>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</si>
  <si>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</si>
  <si>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</si>
  <si>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</si>
  <si>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</si>
  <si>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</si>
  <si>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</si>
  <si>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</si>
  <si>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</si>
  <si>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</si>
  <si>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</si>
  <si>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</si>
  <si>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</si>
  <si>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</si>
  <si>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</si>
  <si>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</si>
  <si>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</si>
  <si>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</si>
  <si>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</si>
  <si>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</si>
  <si>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</si>
  <si>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</si>
  <si>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</si>
  <si>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</si>
  <si>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</si>
  <si>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</si>
  <si>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</si>
  <si>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</si>
  <si>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</si>
  <si>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</si>
  <si>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</si>
  <si>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</si>
  <si>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</si>
  <si>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</si>
  <si>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</si>
  <si>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</si>
  <si>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</si>
  <si>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</si>
  <si>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</si>
  <si>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</si>
  <si>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</si>
  <si>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</si>
  <si>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</si>
  <si>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</si>
  <si>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</si>
  <si>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</si>
  <si>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</si>
  <si>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</si>
  <si>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</si>
  <si>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</si>
  <si>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</si>
  <si>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</si>
  <si>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</si>
  <si>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</si>
  <si>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</si>
  <si>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</si>
  <si>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</si>
  <si>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</si>
  <si>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</si>
  <si>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</si>
  <si>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</si>
  <si>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</si>
  <si>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</si>
  <si>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</si>
  <si>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</si>
  <si>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</si>
  <si>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</si>
  <si>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</si>
  <si>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</si>
  <si>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</si>
  <si>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</si>
  <si>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</si>
  <si>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</si>
  <si>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</si>
  <si>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</si>
  <si>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</si>
  <si>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</si>
  <si>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</si>
  <si>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</si>
  <si>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</si>
  <si>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</si>
  <si>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</si>
  <si>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</si>
  <si>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</si>
  <si>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</si>
  <si>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</si>
  <si>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</si>
  <si>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</si>
  <si>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</si>
  <si>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</si>
  <si>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</si>
  <si>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</si>
  <si>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</si>
  <si>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</si>
  <si>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</si>
  <si>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</si>
  <si>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</si>
  <si>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</si>
  <si>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</si>
  <si>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</si>
  <si>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</si>
  <si>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</si>
  <si>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</si>
  <si>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</si>
  <si>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</si>
  <si>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</si>
  <si>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</si>
  <si>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</si>
  <si>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</si>
  <si>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</si>
  <si>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</si>
  <si>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</si>
  <si>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</si>
  <si>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</si>
  <si>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</si>
  <si>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</si>
  <si>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</si>
  <si>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</si>
  <si>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</si>
  <si>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</si>
  <si>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</si>
  <si>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</si>
  <si>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</si>
  <si>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</si>
  <si>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</si>
  <si>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</si>
  <si>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</si>
  <si>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</si>
  <si>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</si>
  <si>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</si>
  <si>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</si>
  <si>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</si>
  <si>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</si>
  <si>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</si>
  <si>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</si>
  <si>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</si>
  <si>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</si>
  <si>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</si>
  <si>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</si>
  <si>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</si>
  <si>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</si>
  <si>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</si>
  <si>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</si>
  <si>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</si>
  <si>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</si>
  <si>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</si>
  <si>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</si>
  <si>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</si>
  <si>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</si>
  <si>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</si>
  <si>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</si>
  <si>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</si>
  <si>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</si>
  <si>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</si>
  <si>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</si>
  <si>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</si>
  <si>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</si>
  <si>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</si>
  <si>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</si>
  <si>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</si>
  <si>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</si>
  <si>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</si>
  <si>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</si>
  <si>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</si>
  <si>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</si>
  <si>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</si>
  <si>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</si>
  <si>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</si>
  <si>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</si>
  <si>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</si>
  <si>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</si>
  <si>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</si>
  <si>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</si>
  <si>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</si>
  <si>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</si>
  <si>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</si>
  <si>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</si>
  <si>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</si>
  <si>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</si>
  <si>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</si>
  <si>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</si>
  <si>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</si>
  <si>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</si>
  <si>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</si>
  <si>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</si>
  <si>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</si>
  <si>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</si>
  <si>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</si>
  <si>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</si>
  <si>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</si>
  <si>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</si>
  <si>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</si>
  <si>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</si>
  <si>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</si>
  <si>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</si>
  <si>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</si>
  <si>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</si>
  <si>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</si>
  <si>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</si>
  <si>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</si>
  <si>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</si>
  <si>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</si>
  <si>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</si>
  <si>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</si>
  <si>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</si>
  <si>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</si>
  <si>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</si>
  <si>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</si>
  <si>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</si>
  <si>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</si>
  <si>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</si>
  <si>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</si>
  <si>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</si>
  <si>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</si>
  <si>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</si>
  <si>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</si>
  <si>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</si>
  <si>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</si>
  <si>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</si>
  <si>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</si>
  <si>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</si>
  <si>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</si>
  <si>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</si>
  <si>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</si>
  <si>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</si>
  <si>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</si>
  <si>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</si>
  <si>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</si>
  <si>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</si>
  <si>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</si>
  <si>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</si>
  <si>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</si>
  <si>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</si>
  <si>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</si>
  <si>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</si>
  <si>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</si>
  <si>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</si>
  <si>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</si>
  <si>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</si>
  <si>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</si>
  <si>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</si>
  <si>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</si>
  <si>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</si>
  <si>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</si>
  <si>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</si>
  <si>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</si>
  <si>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</si>
  <si>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</si>
  <si>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</si>
  <si>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</si>
  <si>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</si>
  <si>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</si>
  <si>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</si>
  <si>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</si>
  <si>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</si>
  <si>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</si>
  <si>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</si>
  <si>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</si>
  <si>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</si>
  <si>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</si>
  <si>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</si>
  <si>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</si>
  <si>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</si>
  <si>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</si>
  <si>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</si>
  <si>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</si>
  <si>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</si>
  <si>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</si>
  <si>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</si>
  <si>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</si>
  <si>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</si>
  <si>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</si>
  <si>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</si>
  <si>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</si>
  <si>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</si>
  <si>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</si>
  <si>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</si>
  <si>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</si>
  <si>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</si>
  <si>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</si>
  <si>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</si>
  <si>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</si>
  <si>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</si>
  <si>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</si>
  <si>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</si>
  <si>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</si>
  <si>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</si>
  <si>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</si>
  <si>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</si>
  <si>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</si>
  <si>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</si>
  <si>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</si>
  <si>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</si>
  <si>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</si>
  <si>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</si>
  <si>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</si>
  <si>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</si>
  <si>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</si>
  <si>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</si>
  <si>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</si>
  <si>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</si>
  <si>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</si>
  <si>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</si>
  <si>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</si>
  <si>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</si>
  <si>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</si>
  <si>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</si>
  <si>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</si>
  <si>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</si>
  <si>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</si>
  <si>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</si>
  <si>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</si>
  <si>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</si>
  <si>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</si>
  <si>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</si>
  <si>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</si>
  <si>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</si>
  <si>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</si>
  <si>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</si>
  <si>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</si>
  <si>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</si>
  <si>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</si>
  <si>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</si>
  <si>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</si>
  <si>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</si>
  <si>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</si>
  <si>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</si>
  <si>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</si>
  <si>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</si>
  <si>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</si>
  <si>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</si>
  <si>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</si>
  <si>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</si>
  <si>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</si>
  <si>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</si>
  <si>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</si>
  <si>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</si>
  <si>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</si>
  <si>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</si>
  <si>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</si>
  <si>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</si>
  <si>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</si>
  <si>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</si>
  <si>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</si>
  <si>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</si>
  <si>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</si>
  <si>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</si>
  <si>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</si>
  <si>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</si>
  <si>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</si>
  <si>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</si>
  <si>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</si>
  <si>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</si>
  <si>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</si>
  <si>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</si>
  <si>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</si>
  <si>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</si>
  <si>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</si>
  <si>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Year</t>
  </si>
  <si>
    <t>Month</t>
  </si>
  <si>
    <t>Month_No</t>
  </si>
  <si>
    <t>Revenue</t>
  </si>
  <si>
    <t>June</t>
  </si>
  <si>
    <t>July</t>
  </si>
  <si>
    <t>October</t>
  </si>
  <si>
    <t>September</t>
  </si>
  <si>
    <t>April</t>
  </si>
  <si>
    <t>January</t>
  </si>
  <si>
    <t>December</t>
  </si>
  <si>
    <t>March</t>
  </si>
  <si>
    <t>February</t>
  </si>
  <si>
    <t>May</t>
  </si>
  <si>
    <t>November</t>
  </si>
  <si>
    <t>August</t>
  </si>
  <si>
    <t>Monthly Revenue Trend</t>
  </si>
  <si>
    <t>Grand Total</t>
  </si>
  <si>
    <t>Sum of Revenue</t>
  </si>
  <si>
    <t>Total</t>
  </si>
  <si>
    <t>All</t>
  </si>
  <si>
    <t>Revenue by Region</t>
  </si>
  <si>
    <t>Top 10 Customers</t>
  </si>
  <si>
    <t>Product Category Performance</t>
  </si>
  <si>
    <t>Total Revenue</t>
  </si>
  <si>
    <t>Count of order_id</t>
  </si>
  <si>
    <t>Total Orders</t>
  </si>
  <si>
    <t>Sum of quantity</t>
  </si>
  <si>
    <t>Total Quantity</t>
  </si>
  <si>
    <t>Revenue Share by Segment</t>
  </si>
  <si>
    <t>Sum of sales</t>
  </si>
  <si>
    <t>Avg Order Value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</si>
</sst>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0\ \K"/>
  </numFmts>
  <fonts count="6" x14ac:knownFonts="1">
    <font>
      <sz val="11"/>
      <color theme="1"/>
      <name val="Aptos Narrow"/>
      <family val="2"/>
      <scheme val="minor"/>
    </font>
    <font>
      <b/>
      <sz val="11"/>
      <color theme="3"/>
      <name val="Aptos Narrow"/>
      <family val="2"/>
      <scheme val="minor"/>
    </font>
    <font>
      <sz val="8"/>
      <name val="Aptos Narrow"/>
      <family val="2"/>
      <scheme val="minor"/>
    </font>
    <font>
      <b/>
      <sz val="26"/>
      <color rgb="FF4FA3A5"/>
      <name val="Segoe UI"/>
      <family val="2"/>
    </font>
    <font>
      <b/>
      <sz val="26"/>
      <color rgb="FF7FBFA3"/>
      <name val="Segoe UI"/>
      <family val="2"/>
    </font>
    <font>
      <b/>
      <sz val="26"/>
      <color rgb="FF1F7A63"/>
      <name val="Segoe UI"/>
      <family val="2"/>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center"/>
    </xf>
    <xf numFmtId="2" fontId="0" fillId="0" borderId="0" xfId="0" applyNumberFormat="1"/>
    <xf numFmtId="3" fontId="3" fillId="0" borderId="0" xfId="0" applyNumberFormat="1" applyFont="1" applyAlignment="1">
      <alignment horizontal="center" vertical="center"/>
    </xf>
    <xf numFmtId="3" fontId="4" fillId="0" borderId="0" xfId="0" applyNumberFormat="1" applyFont="1" applyAlignment="1">
      <alignment horizontal="center" vertical="center"/>
    </xf>
    <xf numFmtId="164" fontId="5" fillId="0" borderId="0" xfId="0" applyNumberFormat="1" applyFont="1" applyAlignment="1">
      <alignment horizontal="center" vertical="center"/>
    </xf>
    <xf numFmtId="0" fontId="1" fillId="0" borderId="1" xfId="1" applyAlignment="1">
      <alignment horizontal="center" vertical="center"/>
    </xf>
    <xf numFmtId="0" fontId="1" fillId="0" borderId="1" xfId="1" applyAlignment="1">
      <alignment horizontal="center"/>
    </xf>
  </cellXfs>
  <cellStyles count="2">
    <cellStyle name="Heading 3" xfId="1" builtinId="18"/>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i val="0"/>
        <sz val="11"/>
        <color rgb="FF1F3A5F"/>
        <name val="Segoe UI"/>
        <family val="2"/>
        <scheme val="none"/>
      </font>
      <border>
        <bottom style="thin">
          <color rgb="FF4F81BD"/>
        </bottom>
        <vertical/>
        <horizontal/>
      </border>
    </dxf>
    <dxf>
      <font>
        <b val="0"/>
        <i val="0"/>
        <sz val="10"/>
        <color rgb="FF1F3A5F"/>
        <name val="Segoe UI"/>
        <family val="2"/>
        <scheme val="none"/>
      </font>
      <border diagonalUp="0" diagonalDown="0">
        <left/>
        <right/>
        <top/>
        <bottom/>
        <vertical/>
        <horizontal/>
      </border>
    </dxf>
  </dxfs>
  <tableStyles count="4" defaultTableStyle="TableStyleMedium2" defaultPivotStyle="PivotStyleLight16">
    <tableStyle name="Invisible" pivot="0" table="0" count="0" xr9:uid="{9F058652-E1E4-4FD8-86CD-51B707A8E8AD}"/>
    <tableStyle name="Slicer Style 1" pivot="0" table="0" count="1" xr9:uid="{1D6D4A81-D6EA-4129-95E3-796E4A98A1C4}"/>
    <tableStyle name="Slicer Style 2" pivot="0" table="0" count="1" xr9:uid="{BAA9A8BA-3891-4294-A830-A488863F258C}"/>
    <tableStyle name="SlicerStyleOther2dup" pivot="0" table="0" count="10" xr9:uid="{08905263-9008-4570-BBB9-EE97EFCDB565}">
      <tableStyleElement type="wholeTable" dxfId="10"/>
      <tableStyleElement type="headerRow" dxfId="9"/>
    </tableStyle>
  </tableStyles>
  <colors>
    <mruColors>
      <color rgb="FFE5E7EB"/>
      <color rgb="FFC0C0C0"/>
      <color rgb="FF4FA3A5"/>
      <color rgb="FF6B7280"/>
      <color rgb="FF1F7A63"/>
      <color rgb="FFD9F2EF"/>
      <color rgb="FF7FBFA3"/>
      <color rgb="FF0F766E"/>
      <color rgb="FF2E2E2E"/>
      <color rgb="FF374151"/>
    </mruColors>
  </colors>
  <extLst>
    <ext xmlns:x14="http://schemas.microsoft.com/office/spreadsheetml/2009/9/main" uri="{46F421CA-312F-682f-3DD2-61675219B42D}">
      <x14:dxfs count="9">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10"/>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val="0"/>
            <i val="0"/>
            <sz val="10"/>
            <color theme="1"/>
            <name val="Segoe UI"/>
            <family val="2"/>
            <scheme val="none"/>
          </font>
          <fill>
            <gradientFill degree="135">
              <stop position="0">
                <color rgb="FF4FA3A5"/>
              </stop>
              <stop position="1">
                <color rgb="FFD9F2EF"/>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rgb="FF00B050"/>
            </patternFill>
          </fill>
        </dxf>
      </x14:dxfs>
    </ext>
    <ext xmlns:x14="http://schemas.microsoft.com/office/spreadsheetml/2009/9/main" uri="{EB79DEF2-80B8-43e5-95BD-54CBDDF9020C}">
      <x14:slicerStyles defaultSlicerStyle="SlicerStyleOther2dup">
        <x14:slicerStyle name="Slicer Style 1">
          <x14:slicerStyleElements>
            <x14:slicerStyleElement type="hoveredSelectedItemWithData" dxfId="8"/>
          </x14:slicerStyleElements>
        </x14:slicerStyle>
        <x14:slicerStyle name="Slicer Style 2"/>
        <x14:slicerStyle name="SlicerStyleOther2dup">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[Customer_Revenue_Analysis_Dashboard.xlsx]Pivot Table!PivotTable5</c:name>
    <c:fmtId val="6"/>
  </c:pivotSource>
  <c:chart>
    <c:title>
      <c:tx>
        <c:rich>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r>
              <a:rPr lang="en-US" sz="1500" b="0" i="0" u="none" strike="noStrike" baseline="0"/>
              <a:t>📦Product-wise Revenue Distribution (₹ K)</a:t>
            </a:r>
            <a:endParaRPr lang="en-US" sz="1500">
              <a:solidFill>
                <a:srgbClr val="2E2E2E"/>
              </a:solidFill>
              <a:latin typeface="Segoe UI Semibold" panose="020B0702040204020203" pitchFamily="34" charset="0"/>
              <a:cs typeface="Segoe UI Semibold" panose="020B0702040204020203" pitchFamily="34" charset="0"/>
            </a:endParaRPr>
          </a:p>
        </c:rich>
      </c:tx>
      <c:layout>
        <c:manualLayout>
          <c:xMode val="edge"/>
          <c:yMode val="edge"/>
          <c:x val="0.15814336212005758"/>
          <c:y val="3.1603583222130902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quot; 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A63"/>
          </a:solidFill>
          <a:ln>
            <a:noFill/>
          </a:ln>
          <a:effectLst/>
        </c:spPr>
      </c:pivotFmt>
      <c:pivotFmt>
        <c:idx val="4"/>
        <c:spPr>
          <a:solidFill>
            <a:srgbClr val="4FA3A5"/>
          </a:solidFill>
          <a:ln>
            <a:noFill/>
          </a:ln>
          <a:effectLst/>
        </c:spPr>
      </c:pivotFmt>
      <c:pivotFmt>
        <c:idx val="5"/>
        <c:spPr>
          <a:solidFill>
            <a:srgbClr val="B7E4C7"/>
          </a:solidFill>
          <a:ln>
            <a:noFill/>
          </a:ln>
          <a:effectLst/>
        </c:spPr>
      </c:pivotFmt>
    </c:pivotFmts>
    <c:plotArea>
      <c:layout>
        <c:manualLayout>
          <c:layoutTarget val="inner"/>
          <c:xMode val="edge"/>
          <c:yMode val="edge"/>
          <c:x val="0.13350459317585303"/>
          <c:y val="0.20276890308839191"/>
          <c:w val="0.83593985126859138"/>
          <c:h val="0.68224396870518977"/>
        </c:manualLayout>
      </c:layout>
      <c:barChart>
        <c:barDir val="col"/>
        <c:grouping val="clustered"/>
        <c:varyColors val="0"/>
        <c:ser>
          <c:idx val="0"/>
          <c:order val="0"/>
          <c:tx>
            <c:strRef>
              <c:f>'Pivot Table'!$K$3:$K$4</c:f>
              <c:strCache>
                <c:ptCount val="1"/>
                <c:pt idx="0">
                  <c:v>Total</c:v>
                </c:pt>
              </c:strCache>
            </c:strRef>
          </c:tx>
          <c:spPr>
            <a:solidFill>
              <a:schemeClr val="accent1"/>
            </a:solidFill>
            <a:ln>
              <a:noFill/>
            </a:ln>
            <a:effectLst/>
          </c:spPr>
          <c:invertIfNegative val="0"/>
          <c:dPt>
            <c:idx val="0"/>
            <c:invertIfNegative val="0"/>
            <c:bubble3D val="0"/>
            <c:spPr>
              <a:solidFill>
                <a:srgbClr val="1F7A63"/>
              </a:solidFill>
              <a:ln>
                <a:noFill/>
              </a:ln>
              <a:effectLst/>
            </c:spPr>
            <c:extLst>
              <c:ext xmlns:c16="http://schemas.microsoft.com/office/drawing/2014/chart" uri="{C3380CC4-5D6E-409C-BE32-E72D297353CC}">
                <c16:uniqueId val="{00000001-5C58-4F3B-BBB8-E288432925E8}"/>
              </c:ext>
            </c:extLst>
          </c:dPt>
          <c:dPt>
            <c:idx val="1"/>
            <c:invertIfNegative val="0"/>
            <c:bubble3D val="0"/>
            <c:spPr>
              <a:solidFill>
                <a:srgbClr val="4FA3A5"/>
              </a:solidFill>
              <a:ln>
                <a:noFill/>
              </a:ln>
              <a:effectLst/>
            </c:spPr>
            <c:extLst>
              <c:ext xmlns:c16="http://schemas.microsoft.com/office/drawing/2014/chart" uri="{C3380CC4-5D6E-409C-BE32-E72D297353CC}">
                <c16:uniqueId val="{00000002-5C58-4F3B-BBB8-E288432925E8}"/>
              </c:ext>
            </c:extLst>
          </c:dPt>
          <c:dPt>
            <c:idx val="2"/>
            <c:invertIfNegative val="0"/>
            <c:bubble3D val="0"/>
            <c:spPr>
              <a:solidFill>
                <a:srgbClr val="B7E4C7"/>
              </a:solidFill>
              <a:ln>
                <a:noFill/>
              </a:ln>
              <a:effectLst/>
            </c:spPr>
            <c:extLst>
              <c:ext xmlns:c16="http://schemas.microsoft.com/office/drawing/2014/chart" uri="{C3380CC4-5D6E-409C-BE32-E72D297353CC}">
                <c16:uniqueId val="{00000003-5C58-4F3B-BBB8-E288432925E8}"/>
              </c:ext>
            </c:extLst>
          </c:dPt>
          <c:dLbls>
            <c:numFmt formatCode="\₹\ #,##0,,&quot; 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Table'!$J$5:$J$8</c:f>
              <c:strCache>
                <c:ptCount val="3"/>
                <c:pt idx="0">
                  <c:v>Electronics</c:v>
                </c:pt>
                <c:pt idx="1">
                  <c:v>Furniture</c:v>
                </c:pt>
                <c:pt idx="2">
                  <c:v>Office Supplies</c:v>
                </c:pt>
              </c:strCache>
            </c:strRef>
          </c:cat>
          <c:val>
            <c:numRef>
              <c:f>'Pivot Table'!$K$5:$K$8</c:f>
              <c:numCache>
                <c:formatCode>General</c:formatCode>
                <c:ptCount val="3"/>
                <c:pt idx="0">
                  <c:v>33155081</c:v>
                </c:pt>
                <c:pt idx="1">
                  <c:v>28554313</c:v>
                </c:pt>
                <c:pt idx="2">
                  <c:v>26516487</c:v>
                </c:pt>
              </c:numCache>
            </c:numRef>
          </c:val>
          <c:extLst>
            <c:ext xmlns:c16="http://schemas.microsoft.com/office/drawing/2014/chart" uri="{C3380CC4-5D6E-409C-BE32-E72D297353CC}">
              <c16:uniqueId val="{00000000-5C58-4F3B-BBB8-E288432925E8}"/>
            </c:ext>
          </c:extLst>
        </c:ser>
        <c:dLbls>
          <c:showLegendKey val="0"/>
          <c:showVal val="0"/>
          <c:showCatName val="0"/>
          <c:showSerName val="0"/>
          <c:showPercent val="0"/>
          <c:showBubbleSize val="0"/>
        </c:dLbls>
        <c:gapWidth val="182"/>
        <c:axId val="376799759"/>
        <c:axId val="376808879"/>
      </c:barChart>
      <c:catAx>
        <c:axId val="3767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376808879"/>
        <c:crosses val="autoZero"/>
        <c:auto val="1"/>
        <c:lblAlgn val="ctr"/>
        <c:lblOffset val="100"/>
        <c:noMultiLvlLbl val="0"/>
      </c:catAx>
      <c:valAx>
        <c:axId val="376808879"/>
        <c:scaling>
          <c:orientation val="minMax"/>
        </c:scaling>
        <c:delete val="0"/>
        <c:axPos val="l"/>
        <c:numFmt formatCode="\₹\ #,##0\ &quot;K&quot;" sourceLinked="0"/>
        <c:majorTickMark val="none"/>
        <c:minorTickMark val="none"/>
        <c:tickLblPos val="nextTo"/>
        <c:spPr>
          <a:noFill/>
          <a:ln>
            <a:solidFill>
              <a:srgbClr val="E5E7EB">
                <a:alpha val="93000"/>
              </a:srgbClr>
            </a:solidFill>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37679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127000" dist="50800" dir="5400000" algn="t"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[Customer_Revenue_Analysis_Dashboard.xlsx]Pivot Table!PivotTable12</c:name>
    <c:fmtId val="2"/>
  </c:pivotSource>
  <c:chart>
    <c:title>
      <c:tx>
        <c:rich>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r>
              <a:rPr lang="en-US" sz="1500" b="0" i="0" u="none" strike="noStrike" baseline="0"/>
              <a:t>     👥</a:t>
            </a:r>
            <a:r>
              <a:rPr lang="en-US" sz="1600" b="1" i="1"/>
              <a:t>Revenue Contribution by Customer Segment (%) </a:t>
            </a:r>
            <a:endParaRPr lang="en-US" sz="1600"/>
          </a:p>
        </c:rich>
      </c:tx>
      <c:layout>
        <c:manualLayout>
          <c:xMode val="edge"/>
          <c:yMode val="edge"/>
          <c:x val="0.16538466965822818"/>
          <c:y val="1.6850113853613412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4FA3A5"/>
          </a:solidFill>
          <a:ln w="0">
            <a:solidFill>
              <a:schemeClr val="lt1"/>
            </a:solidFill>
          </a:ln>
          <a:effectLst/>
        </c:spPr>
      </c:pivotFmt>
      <c:pivotFmt>
        <c:idx val="7"/>
        <c:spPr>
          <a:solidFill>
            <a:srgbClr val="1F7A63"/>
          </a:solidFill>
          <a:ln w="0">
            <a:solidFill>
              <a:schemeClr val="lt1"/>
            </a:solidFill>
          </a:ln>
          <a:effectLst/>
        </c:spPr>
      </c:pivotFmt>
      <c:pivotFmt>
        <c:idx val="8"/>
        <c:spPr>
          <a:solidFill>
            <a:srgbClr val="B7E4C7"/>
          </a:solidFill>
          <a:ln w="0">
            <a:solidFill>
              <a:schemeClr val="lt1"/>
            </a:solidFill>
          </a:ln>
          <a:effectLst/>
        </c:spPr>
      </c:pivotFmt>
    </c:pivotFmts>
    <c:plotArea>
      <c:layout>
        <c:manualLayout>
          <c:layoutTarget val="inner"/>
          <c:xMode val="edge"/>
          <c:yMode val="edge"/>
          <c:x val="0.18338836677673356"/>
          <c:y val="0.24374357456159731"/>
          <c:w val="0.33002762255524509"/>
          <c:h val="0.68894655213552847"/>
        </c:manualLayout>
      </c:layout>
      <c:doughnutChart>
        <c:varyColors val="1"/>
        <c:ser>
          <c:idx val="0"/>
          <c:order val="0"/>
          <c:tx>
            <c:strRef>
              <c:f>'Pivot Table'!$N$3:$N$4</c:f>
              <c:strCache>
                <c:ptCount val="1"/>
                <c:pt idx="0">
                  <c:v>Total</c:v>
                </c:pt>
              </c:strCache>
            </c:strRef>
          </c:tx>
          <c:dPt>
            <c:idx val="0"/>
            <c:bubble3D val="0"/>
            <c:spPr>
              <a:solidFill>
                <a:srgbClr val="4FA3A5"/>
              </a:solidFill>
              <a:ln w="0">
                <a:solidFill>
                  <a:schemeClr val="lt1"/>
                </a:solidFill>
              </a:ln>
              <a:effectLst/>
            </c:spPr>
            <c:extLst>
              <c:ext xmlns:c16="http://schemas.microsoft.com/office/drawing/2014/chart" uri="{C3380CC4-5D6E-409C-BE32-E72D297353CC}">
                <c16:uniqueId val="{00000001-288B-40A0-B3E0-C48CBBC5135A}"/>
              </c:ext>
            </c:extLst>
          </c:dPt>
          <c:dPt>
            <c:idx val="1"/>
            <c:bubble3D val="0"/>
            <c:spPr>
              <a:solidFill>
                <a:srgbClr val="1F7A63"/>
              </a:solidFill>
              <a:ln w="0">
                <a:solidFill>
                  <a:schemeClr val="lt1"/>
                </a:solidFill>
              </a:ln>
              <a:effectLst/>
            </c:spPr>
            <c:extLst>
              <c:ext xmlns:c16="http://schemas.microsoft.com/office/drawing/2014/chart" uri="{C3380CC4-5D6E-409C-BE32-E72D297353CC}">
                <c16:uniqueId val="{00000003-288B-40A0-B3E0-C48CBBC5135A}"/>
              </c:ext>
            </c:extLst>
          </c:dPt>
          <c:dPt>
            <c:idx val="2"/>
            <c:bubble3D val="0"/>
            <c:spPr>
              <a:solidFill>
                <a:srgbClr val="B7E4C7"/>
              </a:solidFill>
              <a:ln w="0">
                <a:solidFill>
                  <a:schemeClr val="lt1"/>
                </a:solidFill>
              </a:ln>
              <a:effectLst/>
            </c:spPr>
            <c:extLst>
              <c:ext xmlns:c16="http://schemas.microsoft.com/office/drawing/2014/chart" uri="{C3380CC4-5D6E-409C-BE32-E72D297353CC}">
                <c16:uniqueId val="{00000005-288B-40A0-B3E0-C48CBBC5135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Table'!$M$5:$M$8</c:f>
              <c:strCache>
                <c:ptCount val="3"/>
                <c:pt idx="0">
                  <c:v>Consumer</c:v>
                </c:pt>
                <c:pt idx="1">
                  <c:v>Corporate</c:v>
                </c:pt>
                <c:pt idx="2">
                  <c:v>Home Office</c:v>
                </c:pt>
              </c:strCache>
            </c:strRef>
          </c:cat>
          <c:val>
            <c:numRef>
              <c:f>'Pivot Table'!$N$5:$N$8</c:f>
              <c:numCache>
                <c:formatCode>General</c:formatCode>
                <c:ptCount val="3"/>
                <c:pt idx="0">
                  <c:v>4022037</c:v>
                </c:pt>
                <c:pt idx="1">
                  <c:v>4100837</c:v>
                </c:pt>
                <c:pt idx="2">
                  <c:v>4578709</c:v>
                </c:pt>
              </c:numCache>
            </c:numRef>
          </c:val>
          <c:extLst>
            <c:ext xmlns:c16="http://schemas.microsoft.com/office/drawing/2014/chart" uri="{C3380CC4-5D6E-409C-BE32-E72D297353CC}">
              <c16:uniqueId val="{00000006-288B-40A0-B3E0-C48CBBC5135A}"/>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r"/>
      <c:layout>
        <c:manualLayout>
          <c:xMode val="edge"/>
          <c:yMode val="edge"/>
          <c:x val="0.61525449439787772"/>
          <c:y val="0.30781900368514542"/>
          <c:w val="0.27564076229601736"/>
          <c:h val="0.48963172936716243"/>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374151"/>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127000" dist="50800" dir="5400000" algn="t"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[Customer_Revenue_Analysis_Dashboard.xlsx]Pivot Table!PivotTable4</c:name>
    <c:fmtId val="4"/>
  </c:pivotSource>
  <c:chart>
    <c:title>
      <c:tx>
        <c:rich>
          <a:bodyPr rot="0" spcFirstLastPara="1" vertOverflow="ellipsis" vert="horz" wrap="square" anchor="ctr" anchorCtr="1"/>
          <a:lstStyle/>
          <a:p>
            <a:pPr algn="ct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r>
              <a:rPr lang="en-US" sz="1500" b="0" i="0" u="none" strike="noStrike" baseline="0"/>
              <a:t>🏆Top 5 Customers by Revenue (₹ K)</a:t>
            </a:r>
            <a:endParaRPr lang="en-US" sz="1500">
              <a:solidFill>
                <a:srgbClr val="2E2E2E"/>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lgn="ct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 &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F2933"/>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A6D"/>
          </a:solidFill>
          <a:ln>
            <a:noFill/>
          </a:ln>
          <a:effectLst/>
        </c:spPr>
      </c:pivotFmt>
      <c:pivotFmt>
        <c:idx val="4"/>
        <c:spPr>
          <a:solidFill>
            <a:srgbClr val="4FA3A5"/>
          </a:solidFill>
          <a:ln>
            <a:noFill/>
          </a:ln>
          <a:effectLst/>
        </c:spPr>
      </c:pivotFmt>
      <c:pivotFmt>
        <c:idx val="5"/>
        <c:spPr>
          <a:solidFill>
            <a:srgbClr val="4FA3A5"/>
          </a:solidFill>
          <a:ln>
            <a:noFill/>
          </a:ln>
          <a:effectLst/>
        </c:spPr>
        <c:dLbl>
          <c:idx val="0"/>
          <c:layout>
            <c:manualLayout>
              <c:x val="1.3155729829650563E-2"/>
              <c:y val="0"/>
            </c:manualLayout>
          </c:layout>
          <c:numFmt formatCode="\₹\ 0.0\ &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F2933"/>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A3A5"/>
          </a:solidFill>
          <a:ln>
            <a:noFill/>
          </a:ln>
          <a:effectLst/>
        </c:spPr>
      </c:pivotFmt>
      <c:pivotFmt>
        <c:idx val="7"/>
        <c:spPr>
          <a:solidFill>
            <a:srgbClr val="4FA3A5"/>
          </a:solidFill>
          <a:ln>
            <a:noFill/>
          </a:ln>
          <a:effectLst/>
        </c:spPr>
      </c:pivotFmt>
      <c:pivotFmt>
        <c:idx val="8"/>
        <c:spPr>
          <a:solidFill>
            <a:srgbClr val="4FA3A5"/>
          </a:solidFill>
          <a:ln>
            <a:noFill/>
          </a:ln>
          <a:effectLst/>
        </c:spPr>
      </c:pivotFmt>
      <c:pivotFmt>
        <c:idx val="9"/>
        <c:spPr>
          <a:solidFill>
            <a:srgbClr val="4FA3A5"/>
          </a:solidFill>
          <a:ln>
            <a:noFill/>
          </a:ln>
          <a:effectLst/>
        </c:spPr>
      </c:pivotFmt>
      <c:pivotFmt>
        <c:idx val="10"/>
        <c:spPr>
          <a:solidFill>
            <a:srgbClr val="4FA3A5"/>
          </a:solidFill>
          <a:ln>
            <a:noFill/>
          </a:ln>
          <a:effectLst/>
        </c:spPr>
      </c:pivotFmt>
      <c:pivotFmt>
        <c:idx val="11"/>
        <c:spPr>
          <a:solidFill>
            <a:srgbClr val="4FA3A5"/>
          </a:solidFill>
          <a:ln>
            <a:noFill/>
          </a:ln>
          <a:effectLst/>
        </c:spPr>
      </c:pivotFmt>
      <c:pivotFmt>
        <c:idx val="12"/>
        <c:spPr>
          <a:solidFill>
            <a:srgbClr val="4FA3A5"/>
          </a:solidFill>
          <a:ln>
            <a:noFill/>
          </a:ln>
          <a:effectLst/>
        </c:spPr>
      </c:pivotFmt>
      <c:pivotFmt>
        <c:idx val="13"/>
        <c:spPr>
          <a:solidFill>
            <a:srgbClr val="4FA3A5"/>
          </a:solidFill>
          <a:ln>
            <a:noFill/>
          </a:ln>
          <a:effectLst/>
        </c:spPr>
      </c:pivotFmt>
      <c:pivotFmt>
        <c:idx val="14"/>
        <c:spPr>
          <a:solidFill>
            <a:srgbClr val="4FA3A5"/>
          </a:solidFill>
          <a:ln>
            <a:noFill/>
          </a:ln>
          <a:effectLst/>
        </c:spPr>
      </c:pivotFmt>
      <c:pivotFmt>
        <c:idx val="15"/>
        <c:spPr>
          <a:solidFill>
            <a:srgbClr val="4FA3A5"/>
          </a:solidFill>
          <a:ln>
            <a:noFill/>
          </a:ln>
          <a:effectLst/>
        </c:spPr>
      </c:pivotFmt>
      <c:pivotFmt>
        <c:idx val="16"/>
        <c:spPr>
          <a:solidFill>
            <a:srgbClr val="4FA3A5"/>
          </a:solidFill>
          <a:ln>
            <a:noFill/>
          </a:ln>
          <a:effectLst/>
        </c:spPr>
      </c:pivotFmt>
      <c:pivotFmt>
        <c:idx val="17"/>
        <c:spPr>
          <a:solidFill>
            <a:srgbClr val="4FA3A5"/>
          </a:solidFill>
          <a:ln>
            <a:noFill/>
          </a:ln>
          <a:effectLst/>
        </c:spPr>
      </c:pivotFmt>
      <c:pivotFmt>
        <c:idx val="18"/>
        <c:spPr>
          <a:solidFill>
            <a:srgbClr val="4FA3A5"/>
          </a:solidFill>
          <a:ln>
            <a:noFill/>
          </a:ln>
          <a:effectLst/>
        </c:spPr>
      </c:pivotFmt>
      <c:pivotFmt>
        <c:idx val="19"/>
        <c:spPr>
          <a:solidFill>
            <a:srgbClr val="4FA3A5"/>
          </a:solidFill>
          <a:ln>
            <a:noFill/>
          </a:ln>
          <a:effectLst/>
        </c:spPr>
      </c:pivotFmt>
      <c:pivotFmt>
        <c:idx val="20"/>
        <c:spPr>
          <a:solidFill>
            <a:srgbClr val="4FA3A5"/>
          </a:solidFill>
          <a:ln>
            <a:noFill/>
          </a:ln>
          <a:effectLst/>
        </c:spPr>
      </c:pivotFmt>
      <c:pivotFmt>
        <c:idx val="21"/>
        <c:spPr>
          <a:solidFill>
            <a:srgbClr val="4FA3A5"/>
          </a:solidFill>
          <a:ln>
            <a:noFill/>
          </a:ln>
          <a:effectLst/>
        </c:spPr>
      </c:pivotFmt>
      <c:pivotFmt>
        <c:idx val="22"/>
        <c:spPr>
          <a:solidFill>
            <a:srgbClr val="4FA3A5"/>
          </a:solidFill>
          <a:ln>
            <a:noFill/>
          </a:ln>
          <a:effectLst/>
        </c:spPr>
      </c:pivotFmt>
    </c:pivotFmts>
    <c:plotArea>
      <c:layout/>
      <c:barChart>
        <c:barDir val="bar"/>
        <c:grouping val="clustered"/>
        <c:varyColors val="0"/>
        <c:ser>
          <c:idx val="0"/>
          <c:order val="0"/>
          <c:tx>
            <c:strRef>
              <c:f>'Pivot Table'!$H$5:$H$6</c:f>
              <c:strCache>
                <c:ptCount val="1"/>
                <c:pt idx="0">
                  <c:v>Total</c:v>
                </c:pt>
              </c:strCache>
            </c:strRef>
          </c:tx>
          <c:spPr>
            <a:solidFill>
              <a:schemeClr val="accent1"/>
            </a:solidFill>
            <a:ln>
              <a:noFill/>
            </a:ln>
            <a:effectLst/>
          </c:spPr>
          <c:invertIfNegative val="0"/>
          <c:dPt>
            <c:idx val="0"/>
            <c:invertIfNegative val="0"/>
            <c:bubble3D val="0"/>
            <c:spPr>
              <a:solidFill>
                <a:srgbClr val="4FA3A5"/>
              </a:solidFill>
              <a:ln>
                <a:noFill/>
              </a:ln>
              <a:effectLst/>
            </c:spPr>
            <c:extLst>
              <c:ext xmlns:c16="http://schemas.microsoft.com/office/drawing/2014/chart" uri="{C3380CC4-5D6E-409C-BE32-E72D297353CC}">
                <c16:uniqueId val="{00000004-C336-4F5D-888E-6BD85CC2CB76}"/>
              </c:ext>
            </c:extLst>
          </c:dPt>
          <c:dPt>
            <c:idx val="1"/>
            <c:invertIfNegative val="0"/>
            <c:bubble3D val="0"/>
            <c:spPr>
              <a:solidFill>
                <a:srgbClr val="4FA3A5"/>
              </a:solidFill>
              <a:ln>
                <a:noFill/>
              </a:ln>
              <a:effectLst/>
            </c:spPr>
            <c:extLst>
              <c:ext xmlns:c16="http://schemas.microsoft.com/office/drawing/2014/chart" uri="{C3380CC4-5D6E-409C-BE32-E72D297353CC}">
                <c16:uniqueId val="{00000003-C336-4F5D-888E-6BD85CC2CB76}"/>
              </c:ext>
            </c:extLst>
          </c:dPt>
          <c:dPt>
            <c:idx val="2"/>
            <c:invertIfNegative val="0"/>
            <c:bubble3D val="0"/>
            <c:spPr>
              <a:solidFill>
                <a:srgbClr val="4FA3A5"/>
              </a:solidFill>
              <a:ln>
                <a:noFill/>
              </a:ln>
              <a:effectLst/>
            </c:spPr>
            <c:extLst>
              <c:ext xmlns:c16="http://schemas.microsoft.com/office/drawing/2014/chart" uri="{C3380CC4-5D6E-409C-BE32-E72D297353CC}">
                <c16:uniqueId val="{00000002-C336-4F5D-888E-6BD85CC2CB76}"/>
              </c:ext>
            </c:extLst>
          </c:dPt>
          <c:dPt>
            <c:idx val="3"/>
            <c:invertIfNegative val="0"/>
            <c:bubble3D val="0"/>
            <c:spPr>
              <a:solidFill>
                <a:srgbClr val="4FA3A5"/>
              </a:solidFill>
              <a:ln>
                <a:noFill/>
              </a:ln>
              <a:effectLst/>
            </c:spPr>
            <c:extLst>
              <c:ext xmlns:c16="http://schemas.microsoft.com/office/drawing/2014/chart" uri="{C3380CC4-5D6E-409C-BE32-E72D297353CC}">
                <c16:uniqueId val="{00000001-C336-4F5D-888E-6BD85CC2CB76}"/>
              </c:ext>
            </c:extLst>
          </c:dPt>
          <c:dPt>
            <c:idx val="4"/>
            <c:invertIfNegative val="0"/>
            <c:bubble3D val="0"/>
            <c:spPr>
              <a:solidFill>
                <a:srgbClr val="1F7A6D"/>
              </a:solidFill>
              <a:ln>
                <a:noFill/>
              </a:ln>
              <a:effectLst/>
            </c:spPr>
            <c:extLst>
              <c:ext xmlns:c16="http://schemas.microsoft.com/office/drawing/2014/chart" uri="{C3380CC4-5D6E-409C-BE32-E72D297353CC}">
                <c16:uniqueId val="{00000000-C336-4F5D-888E-6BD85CC2CB76}"/>
              </c:ext>
            </c:extLst>
          </c:dPt>
          <c:dLbls>
            <c:dLbl>
              <c:idx val="2"/>
              <c:layout>
                <c:manualLayout>
                  <c:x val="1.315572982965056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36-4F5D-888E-6BD85CC2CB76}"/>
                </c:ext>
              </c:extLst>
            </c:dLbl>
            <c:numFmt formatCode="\₹\ 0.0\ &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F2933"/>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Table'!$G$7:$G$12</c:f>
              <c:strCache>
                <c:ptCount val="5"/>
                <c:pt idx="0">
                  <c:v>Rahul Sharma</c:v>
                </c:pt>
                <c:pt idx="1">
                  <c:v>Nitin Joshi</c:v>
                </c:pt>
                <c:pt idx="2">
                  <c:v>Arjun Malhotra</c:v>
                </c:pt>
                <c:pt idx="3">
                  <c:v>Kavita Singh</c:v>
                </c:pt>
                <c:pt idx="4">
                  <c:v>Sneha Kulkarni</c:v>
                </c:pt>
              </c:strCache>
            </c:strRef>
          </c:cat>
          <c:val>
            <c:numRef>
              <c:f>'Pivot Table'!$H$7:$H$12</c:f>
              <c:numCache>
                <c:formatCode>General</c:formatCode>
                <c:ptCount val="5"/>
                <c:pt idx="0">
                  <c:v>5063446</c:v>
                </c:pt>
                <c:pt idx="1">
                  <c:v>5209474</c:v>
                </c:pt>
                <c:pt idx="2">
                  <c:v>5326652</c:v>
                </c:pt>
                <c:pt idx="3">
                  <c:v>5407751</c:v>
                </c:pt>
                <c:pt idx="4">
                  <c:v>6054077</c:v>
                </c:pt>
              </c:numCache>
            </c:numRef>
          </c:val>
          <c:extLst>
            <c:ext xmlns:c16="http://schemas.microsoft.com/office/drawing/2014/chart" uri="{C3380CC4-5D6E-409C-BE32-E72D297353CC}">
              <c16:uniqueId val="{00000000-3631-4956-A83C-CAF307CF1CB8}"/>
            </c:ext>
          </c:extLst>
        </c:ser>
        <c:dLbls>
          <c:showLegendKey val="0"/>
          <c:showVal val="0"/>
          <c:showCatName val="0"/>
          <c:showSerName val="0"/>
          <c:showPercent val="0"/>
          <c:showBubbleSize val="0"/>
        </c:dLbls>
        <c:gapWidth val="100"/>
        <c:axId val="371367167"/>
        <c:axId val="371373407"/>
      </c:barChart>
      <c:catAx>
        <c:axId val="37136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371373407"/>
        <c:crosses val="autoZero"/>
        <c:auto val="1"/>
        <c:lblAlgn val="ctr"/>
        <c:lblOffset val="100"/>
        <c:noMultiLvlLbl val="0"/>
      </c:catAx>
      <c:valAx>
        <c:axId val="371373407"/>
        <c:scaling>
          <c:orientation val="minMax"/>
        </c:scaling>
        <c:delete val="0"/>
        <c:axPos val="b"/>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371367167"/>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noFill/>
      <a:round/>
    </a:ln>
    <a:effectLst>
      <a:outerShdw blurRad="127000" dist="50800" dir="5400000" algn="t"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[Customer_Revenue_Analysis_Dashboard.xlsx]Pivot Table!PivotTable1</c:name>
    <c:fmtId val="4"/>
  </c:pivotSource>
  <c:chart>
    <c:title>
      <c:tx>
        <c:rich>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r>
              <a:rPr lang="en-US" sz="1500" b="0" i="0" u="none" strike="noStrike" baseline="0"/>
              <a:t>📈Monthly Revenue Trend (₹ K)</a:t>
            </a:r>
            <a:endParaRPr lang="en-US" sz="1500">
              <a:solidFill>
                <a:srgbClr val="2E2E2E"/>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1F7A63"/>
            </a:solidFill>
            <a:round/>
          </a:ln>
          <a:effectLst/>
        </c:spPr>
        <c:marker>
          <c:symbol val="circle"/>
          <c:size val="6"/>
          <c:spPr>
            <a:solidFill>
              <a:schemeClr val="bg1"/>
            </a:solidFill>
            <a:ln w="9525">
              <a:solidFill>
                <a:srgbClr val="1F7A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2879377980979"/>
          <c:y val="0.15712682379349047"/>
          <c:w val="0.78875077611266331"/>
          <c:h val="0.57532675839762459"/>
        </c:manualLayout>
      </c:layout>
      <c:lineChart>
        <c:grouping val="standard"/>
        <c:varyColors val="0"/>
        <c:ser>
          <c:idx val="0"/>
          <c:order val="0"/>
          <c:tx>
            <c:strRef>
              <c:f>'Pivot Table'!$B$3:$B$4</c:f>
              <c:strCache>
                <c:ptCount val="1"/>
                <c:pt idx="0">
                  <c:v>Total</c:v>
                </c:pt>
              </c:strCache>
            </c:strRef>
          </c:tx>
          <c:spPr>
            <a:ln w="38100" cap="rnd">
              <a:solidFill>
                <a:srgbClr val="1F7A63"/>
              </a:solidFill>
              <a:round/>
            </a:ln>
            <a:effectLst/>
          </c:spPr>
          <c:marker>
            <c:symbol val="circle"/>
            <c:size val="6"/>
            <c:spPr>
              <a:solidFill>
                <a:schemeClr val="bg1"/>
              </a:solidFill>
              <a:ln w="9525">
                <a:solidFill>
                  <a:srgbClr val="1F7A63"/>
                </a:solidFill>
              </a:ln>
              <a:effectLst/>
            </c:spPr>
          </c:marker>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Table'!$B$5:$B$17</c:f>
              <c:numCache>
                <c:formatCode>0.00</c:formatCode>
                <c:ptCount val="12"/>
                <c:pt idx="0">
                  <c:v>7937096</c:v>
                </c:pt>
                <c:pt idx="1">
                  <c:v>4286490</c:v>
                </c:pt>
                <c:pt idx="2">
                  <c:v>8698557</c:v>
                </c:pt>
                <c:pt idx="3">
                  <c:v>7611770</c:v>
                </c:pt>
                <c:pt idx="4">
                  <c:v>9267912</c:v>
                </c:pt>
                <c:pt idx="5">
                  <c:v>5756210</c:v>
                </c:pt>
                <c:pt idx="6">
                  <c:v>6407728</c:v>
                </c:pt>
                <c:pt idx="7">
                  <c:v>5987371</c:v>
                </c:pt>
                <c:pt idx="8">
                  <c:v>9891670</c:v>
                </c:pt>
                <c:pt idx="9">
                  <c:v>7510081</c:v>
                </c:pt>
                <c:pt idx="10">
                  <c:v>8403195</c:v>
                </c:pt>
                <c:pt idx="11">
                  <c:v>6467801</c:v>
                </c:pt>
              </c:numCache>
            </c:numRef>
          </c:val>
          <c:smooth val="0"/>
          <c:extLst>
            <c:ext xmlns:c16="http://schemas.microsoft.com/office/drawing/2014/chart" uri="{C3380CC4-5D6E-409C-BE32-E72D297353CC}">
              <c16:uniqueId val="{00000000-66A4-4236-A822-9CB99068D7D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05272527"/>
        <c:axId val="1005270463"/>
      </c:lineChart>
      <c:catAx>
        <c:axId val="100527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1005270463"/>
        <c:crosses val="autoZero"/>
        <c:auto val="1"/>
        <c:lblAlgn val="ctr"/>
        <c:lblOffset val="100"/>
        <c:noMultiLvlLbl val="0"/>
      </c:catAx>
      <c:valAx>
        <c:axId val="1005270463"/>
        <c:scaling>
          <c:orientation val="minMax"/>
          <c:min val="0"/>
        </c:scaling>
        <c:delete val="0"/>
        <c:axPos val="l"/>
        <c:majorGridlines>
          <c:spPr>
            <a:ln w="12700" cap="flat" cmpd="sng" algn="ctr">
              <a:noFill/>
              <a:round/>
            </a:ln>
            <a:effectLst/>
          </c:spPr>
        </c:majorGridlines>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100527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noFill/>
      <a:round/>
    </a:ln>
    <a:effectLst>
      <a:outerShdw blurRad="127000" dist="50800" dir="5400000" algn="t"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[Customer_Revenue_Analysis_Dashboard.xlsx]Pivot Table!PivotTable2</c:name>
    <c:fmtId val="4"/>
  </c:pivotSource>
  <c:chart>
    <c:title>
      <c:tx>
        <c:rich>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r>
              <a:rPr lang="en-US" sz="1500" b="0" i="0" u="none" strike="noStrike" baseline="0"/>
              <a:t>🌍Regional Revenue Contribution (₹ K)</a:t>
            </a:r>
            <a:endParaRPr lang="en-US" sz="1500">
              <a:solidFill>
                <a:srgbClr val="2E2E2E"/>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rgbClr val="2E2E2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quot; 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F2933"/>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A3A5"/>
          </a:solidFill>
          <a:ln>
            <a:noFill/>
          </a:ln>
          <a:effectLst/>
        </c:spPr>
      </c:pivotFmt>
      <c:pivotFmt>
        <c:idx val="4"/>
        <c:spPr>
          <a:solidFill>
            <a:srgbClr val="B7E4C7"/>
          </a:solidFill>
          <a:ln>
            <a:noFill/>
          </a:ln>
          <a:effectLst/>
        </c:spPr>
      </c:pivotFmt>
      <c:pivotFmt>
        <c:idx val="5"/>
        <c:spPr>
          <a:solidFill>
            <a:srgbClr val="1F7A6D"/>
          </a:solidFill>
          <a:ln>
            <a:noFill/>
          </a:ln>
          <a:effectLst/>
        </c:spPr>
      </c:pivotFmt>
      <c:pivotFmt>
        <c:idx val="6"/>
        <c:spPr>
          <a:solidFill>
            <a:srgbClr val="6FAFB2"/>
          </a:solidFill>
          <a:ln>
            <a:noFill/>
          </a:ln>
          <a:effectLst/>
        </c:spPr>
      </c:pivotFmt>
    </c:pivotFmts>
    <c:plotArea>
      <c:layout/>
      <c:barChart>
        <c:barDir val="col"/>
        <c:grouping val="clustered"/>
        <c:varyColors val="0"/>
        <c:ser>
          <c:idx val="0"/>
          <c:order val="0"/>
          <c:tx>
            <c:strRef>
              <c:f>'Pivot Table'!$E$3:$E$4</c:f>
              <c:strCache>
                <c:ptCount val="1"/>
                <c:pt idx="0">
                  <c:v>Total</c:v>
                </c:pt>
              </c:strCache>
            </c:strRef>
          </c:tx>
          <c:spPr>
            <a:solidFill>
              <a:schemeClr val="accent1"/>
            </a:solidFill>
            <a:ln>
              <a:noFill/>
            </a:ln>
            <a:effectLst/>
          </c:spPr>
          <c:invertIfNegative val="0"/>
          <c:dPt>
            <c:idx val="0"/>
            <c:invertIfNegative val="0"/>
            <c:bubble3D val="0"/>
            <c:spPr>
              <a:solidFill>
                <a:srgbClr val="4FA3A5"/>
              </a:solidFill>
              <a:ln>
                <a:noFill/>
              </a:ln>
              <a:effectLst/>
            </c:spPr>
            <c:extLst>
              <c:ext xmlns:c16="http://schemas.microsoft.com/office/drawing/2014/chart" uri="{C3380CC4-5D6E-409C-BE32-E72D297353CC}">
                <c16:uniqueId val="{00000001-1B27-426D-BBC3-568232C152B3}"/>
              </c:ext>
            </c:extLst>
          </c:dPt>
          <c:dPt>
            <c:idx val="1"/>
            <c:invertIfNegative val="0"/>
            <c:bubble3D val="0"/>
            <c:spPr>
              <a:solidFill>
                <a:srgbClr val="B7E4C7"/>
              </a:solidFill>
              <a:ln>
                <a:noFill/>
              </a:ln>
              <a:effectLst/>
            </c:spPr>
            <c:extLst>
              <c:ext xmlns:c16="http://schemas.microsoft.com/office/drawing/2014/chart" uri="{C3380CC4-5D6E-409C-BE32-E72D297353CC}">
                <c16:uniqueId val="{00000002-1B27-426D-BBC3-568232C152B3}"/>
              </c:ext>
            </c:extLst>
          </c:dPt>
          <c:dPt>
            <c:idx val="2"/>
            <c:invertIfNegative val="0"/>
            <c:bubble3D val="0"/>
            <c:spPr>
              <a:solidFill>
                <a:srgbClr val="1F7A6D"/>
              </a:solidFill>
              <a:ln>
                <a:noFill/>
              </a:ln>
              <a:effectLst/>
            </c:spPr>
            <c:extLst>
              <c:ext xmlns:c16="http://schemas.microsoft.com/office/drawing/2014/chart" uri="{C3380CC4-5D6E-409C-BE32-E72D297353CC}">
                <c16:uniqueId val="{00000003-1B27-426D-BBC3-568232C152B3}"/>
              </c:ext>
            </c:extLst>
          </c:dPt>
          <c:dPt>
            <c:idx val="3"/>
            <c:invertIfNegative val="0"/>
            <c:bubble3D val="0"/>
            <c:spPr>
              <a:solidFill>
                <a:srgbClr val="6FAFB2"/>
              </a:solidFill>
              <a:ln>
                <a:noFill/>
              </a:ln>
              <a:effectLst/>
            </c:spPr>
            <c:extLst>
              <c:ext xmlns:c16="http://schemas.microsoft.com/office/drawing/2014/chart" uri="{C3380CC4-5D6E-409C-BE32-E72D297353CC}">
                <c16:uniqueId val="{00000004-1B27-426D-BBC3-568232C152B3}"/>
              </c:ext>
            </c:extLst>
          </c:dPt>
          <c:dLbls>
            <c:numFmt formatCode="\₹\ #,##0,,&quot; 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F2933"/>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East</c:v>
                </c:pt>
                <c:pt idx="1">
                  <c:v>North</c:v>
                </c:pt>
                <c:pt idx="2">
                  <c:v>South</c:v>
                </c:pt>
                <c:pt idx="3">
                  <c:v>West</c:v>
                </c:pt>
              </c:strCache>
            </c:strRef>
          </c:cat>
          <c:val>
            <c:numRef>
              <c:f>'Pivot Table'!$E$5:$E$9</c:f>
              <c:numCache>
                <c:formatCode>General</c:formatCode>
                <c:ptCount val="4"/>
                <c:pt idx="0">
                  <c:v>23043903</c:v>
                </c:pt>
                <c:pt idx="1">
                  <c:v>19845608</c:v>
                </c:pt>
                <c:pt idx="2">
                  <c:v>23576494</c:v>
                </c:pt>
                <c:pt idx="3">
                  <c:v>21759876</c:v>
                </c:pt>
              </c:numCache>
            </c:numRef>
          </c:val>
          <c:extLst>
            <c:ext xmlns:c16="http://schemas.microsoft.com/office/drawing/2014/chart" uri="{C3380CC4-5D6E-409C-BE32-E72D297353CC}">
              <c16:uniqueId val="{00000000-1B27-426D-BBC3-568232C152B3}"/>
            </c:ext>
          </c:extLst>
        </c:ser>
        <c:dLbls>
          <c:dLblPos val="outEnd"/>
          <c:showLegendKey val="0"/>
          <c:showVal val="1"/>
          <c:showCatName val="0"/>
          <c:showSerName val="0"/>
          <c:showPercent val="0"/>
          <c:showBubbleSize val="0"/>
        </c:dLbls>
        <c:gapWidth val="109"/>
        <c:axId val="376805999"/>
        <c:axId val="376798319"/>
      </c:barChart>
      <c:catAx>
        <c:axId val="37680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376798319"/>
        <c:crosses val="autoZero"/>
        <c:auto val="1"/>
        <c:lblAlgn val="ctr"/>
        <c:lblOffset val="100"/>
        <c:noMultiLvlLbl val="0"/>
      </c:catAx>
      <c:valAx>
        <c:axId val="376798319"/>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B7280"/>
                </a:solidFill>
                <a:latin typeface="Segoe UI" panose="020B0502040204020203" pitchFamily="34" charset="0"/>
                <a:ea typeface="+mn-ea"/>
                <a:cs typeface="Segoe UI" panose="020B0502040204020203" pitchFamily="34" charset="0"/>
              </a:defRPr>
            </a:pPr>
            <a:endParaRPr lang="en-US"/>
          </a:p>
        </c:txPr>
        <c:crossAx val="37680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noFill/>
      <a:round/>
    </a:ln>
    <a:effectLst>
      <a:outerShdw blurRad="127000" dist="50800" dir="5400000" algn="t"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123825</xdr:colOff>
      <xdr:row>83</xdr:row>
      <xdr:rowOff>161925</xdr:rowOff>
    </xdr:to>
    <xdr:sp macro="" textlink="">
      <xdr:nvSpPr>
        <xdr:cNvPr id="2" name="Rectangle 1">
          <a:extLst>
            <a:ext uri="{FF2B5EF4-FFF2-40B4-BE49-F238E27FC236}">
              <a16:creationId xmlns:a16="http://schemas.microsoft.com/office/drawing/2014/main" id="{14E3215A-78DC-F93C-0ED6-A0EC54D75F5F}"/>
            </a:ext>
          </a:extLst>
        </xdr:cNvPr>
        <xdr:cNvSpPr/>
      </xdr:nvSpPr>
      <xdr:spPr>
        <a:xfrm>
          <a:off x="0" y="0"/>
          <a:ext cx="25117425" cy="15182850"/>
        </a:xfrm>
        <a:prstGeom prst="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0</xdr:col>
      <xdr:colOff>76200</xdr:colOff>
      <xdr:row>22</xdr:row>
      <xdr:rowOff>133636</xdr:rowOff>
    </xdr:from>
    <xdr:to>
      <xdr:col>9</xdr:col>
      <xdr:colOff>259080</xdr:colOff>
      <xdr:row>37</xdr:row>
      <xdr:rowOff>134779</xdr:rowOff>
    </xdr:to>
    <xdr:graphicFrame macro="">
      <xdr:nvGraphicFramePr>
        <xdr:cNvPr id="3" name="Chart 2">
          <a:extLst>
            <a:ext uri="{FF2B5EF4-FFF2-40B4-BE49-F238E27FC236}">
              <a16:creationId xmlns:a16="http://schemas.microsoft.com/office/drawing/2014/main" id="{B683BEF2-5B87-4D84-AD8D-C63339FC7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419100</xdr:colOff>
      <xdr:row>7</xdr:row>
      <xdr:rowOff>19050</xdr:rowOff>
    </xdr:from>
    <xdr:to>
      <xdr:col>28</xdr:col>
      <xdr:colOff>601980</xdr:colOff>
      <xdr:row>22</xdr:row>
      <xdr:rowOff>20193</xdr:rowOff>
    </xdr:to>
    <xdr:graphicFrame macro="">
      <xdr:nvGraphicFramePr>
        <xdr:cNvPr id="4" name="Chart 3">
          <a:extLst>
            <a:ext uri="{FF2B5EF4-FFF2-40B4-BE49-F238E27FC236}">
              <a16:creationId xmlns:a16="http://schemas.microsoft.com/office/drawing/2014/main" id="{1492D24E-F2BE-465E-80C8-8F45B35F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200025</xdr:colOff>
      <xdr:row>22</xdr:row>
      <xdr:rowOff>133636</xdr:rowOff>
    </xdr:from>
    <xdr:to>
      <xdr:col>28</xdr:col>
      <xdr:colOff>581025</xdr:colOff>
      <xdr:row>37</xdr:row>
      <xdr:rowOff>134779</xdr:rowOff>
    </xdr:to>
    <xdr:graphicFrame macro="">
      <xdr:nvGraphicFramePr>
        <xdr:cNvPr id="5" name="Chart 4">
          <a:extLst>
            <a:ext uri="{FF2B5EF4-FFF2-40B4-BE49-F238E27FC236}">
              <a16:creationId xmlns:a16="http://schemas.microsoft.com/office/drawing/2014/main" id="{78B20A2B-C318-4C83-90D5-8F80A2BB9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162519</xdr:colOff>
      <xdr:row>7</xdr:row>
      <xdr:rowOff>19050</xdr:rowOff>
    </xdr:from>
    <xdr:to>
      <xdr:col>19</xdr:col>
      <xdr:colOff>284916</xdr:colOff>
      <xdr:row>22</xdr:row>
      <xdr:rowOff>20193</xdr:rowOff>
    </xdr:to>
    <xdr:graphicFrame macro="">
      <xdr:nvGraphicFramePr>
        <xdr:cNvPr id="6" name="Chart 5">
          <a:extLst>
            <a:ext uri="{FF2B5EF4-FFF2-40B4-BE49-F238E27FC236}">
              <a16:creationId xmlns:a16="http://schemas.microsoft.com/office/drawing/2014/main" id="{6C367D06-88D5-41FF-B28E-9F6BFC9F5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442912</xdr:colOff>
      <xdr:row>22</xdr:row>
      <xdr:rowOff>133636</xdr:rowOff>
    </xdr:from>
    <xdr:to>
      <xdr:col>19</xdr:col>
      <xdr:colOff>16192</xdr:colOff>
      <xdr:row>37</xdr:row>
      <xdr:rowOff>134779</xdr:rowOff>
    </xdr:to>
    <xdr:graphicFrame macro="">
      <xdr:nvGraphicFramePr>
        <xdr:cNvPr id="7" name="Chart 6">
          <a:extLst>
            <a:ext uri="{FF2B5EF4-FFF2-40B4-BE49-F238E27FC236}">
              <a16:creationId xmlns:a16="http://schemas.microsoft.com/office/drawing/2014/main" id="{E20FF6FD-F8C7-4229-A8AA-29C3EE357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200024</xdr:colOff>
      <xdr:row>1</xdr:row>
      <xdr:rowOff>11906</xdr:rowOff>
    </xdr:from>
    <xdr:to>
      <xdr:col>15</xdr:col>
      <xdr:colOff>102488</xdr:colOff>
      <xdr:row>6</xdr:row>
      <xdr:rowOff>21431</xdr:rowOff>
    </xdr:to>
    <xdr:sp macro="" textlink="KPI!A6">
      <xdr:nvSpPr>
        <xdr:cNvPr id="8" name="Rectangle: Rounded Corners 7">
          <a:extLst>
            <a:ext uri="{FF2B5EF4-FFF2-40B4-BE49-F238E27FC236}">
              <a16:creationId xmlns:a16="http://schemas.microsoft.com/office/drawing/2014/main" id="{CC1E59E2-5B5F-08DD-FD6F-7FD072CAE142}"/>
            </a:ext>
          </a:extLst>
        </xdr:cNvPr>
        <xdr:cNvSpPr/>
      </xdr:nvSpPr>
      <xdr:spPr>
        <a:xfrm>
          <a:off x="6905624" y="192881"/>
          <a:ext cx="2340864" cy="914400"/>
        </a:xfrm>
        <a:prstGeom prst="roundRect">
          <a:avLst/>
        </a:prstGeom>
        <a:solidFill>
          <a:schemeClr val="bg1"/>
        </a:solidFill>
        <a:ln>
          <a:noFill/>
        </a:ln>
        <a:effectLst>
          <a:outerShdw blurRad="127000" dist="50800" dir="54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2FC1179-0D41-4A56-868E-3A818463527E}" type="TxLink">
            <a:rPr lang="en-US" sz="2600" b="1" i="0" u="none" strike="noStrike">
              <a:solidFill>
                <a:srgbClr val="1F7A63"/>
              </a:solidFill>
              <a:latin typeface="Segoe UI"/>
              <a:cs typeface="Segoe UI"/>
            </a:rPr>
            <a:pPr algn="ctr"/>
            <a:t>₹ 88,226 K</a:t>
          </a:fld>
          <a:endParaRPr lang="en-US" sz="1100"/>
        </a:p>
      </xdr:txBody>
    </xdr:sp>
    <xdr:clientData/>
  </xdr:twoCellAnchor>
  <xdr:twoCellAnchor>
    <xdr:from>
      <xdr:col>15</xdr:col>
      <xdr:colOff>568325</xdr:colOff>
      <xdr:row>1</xdr:row>
      <xdr:rowOff>11906</xdr:rowOff>
    </xdr:from>
    <xdr:to>
      <xdr:col>19</xdr:col>
      <xdr:colOff>470789</xdr:colOff>
      <xdr:row>6</xdr:row>
      <xdr:rowOff>21431</xdr:rowOff>
    </xdr:to>
    <xdr:sp macro="" textlink="KPI!D6">
      <xdr:nvSpPr>
        <xdr:cNvPr id="9" name="Rectangle: Rounded Corners 8">
          <a:extLst>
            <a:ext uri="{FF2B5EF4-FFF2-40B4-BE49-F238E27FC236}">
              <a16:creationId xmlns:a16="http://schemas.microsoft.com/office/drawing/2014/main" id="{7EE561A2-11D7-48FB-84C1-622DF217635B}"/>
            </a:ext>
          </a:extLst>
        </xdr:cNvPr>
        <xdr:cNvSpPr/>
      </xdr:nvSpPr>
      <xdr:spPr>
        <a:xfrm>
          <a:off x="9712325" y="192881"/>
          <a:ext cx="2340864" cy="914400"/>
        </a:xfrm>
        <a:prstGeom prst="roundRect">
          <a:avLst/>
        </a:prstGeom>
        <a:solidFill>
          <a:schemeClr val="bg1"/>
        </a:solidFill>
        <a:ln>
          <a:noFill/>
        </a:ln>
        <a:effectLst>
          <a:outerShdw blurRad="127000" dist="50800" dir="54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C7C5267-7BF2-403D-AFA1-CA4551E3ED61}" type="TxLink">
            <a:rPr lang="en-US" sz="2600" b="1" i="0" u="none" strike="noStrike">
              <a:solidFill>
                <a:srgbClr val="4FA3A5"/>
              </a:solidFill>
              <a:latin typeface="Segoe UI"/>
              <a:cs typeface="Segoe UI"/>
            </a:rPr>
            <a:pPr algn="ctr"/>
            <a:t>800</a:t>
          </a:fld>
          <a:endParaRPr lang="en-US" sz="1100"/>
        </a:p>
      </xdr:txBody>
    </xdr:sp>
    <xdr:clientData/>
  </xdr:twoCellAnchor>
  <xdr:twoCellAnchor>
    <xdr:from>
      <xdr:col>20</xdr:col>
      <xdr:colOff>355601</xdr:colOff>
      <xdr:row>1</xdr:row>
      <xdr:rowOff>11906</xdr:rowOff>
    </xdr:from>
    <xdr:to>
      <xdr:col>24</xdr:col>
      <xdr:colOff>258065</xdr:colOff>
      <xdr:row>6</xdr:row>
      <xdr:rowOff>21431</xdr:rowOff>
    </xdr:to>
    <xdr:sp macro="" textlink="KPI!G6">
      <xdr:nvSpPr>
        <xdr:cNvPr id="10" name="Rectangle: Rounded Corners 9">
          <a:extLst>
            <a:ext uri="{FF2B5EF4-FFF2-40B4-BE49-F238E27FC236}">
              <a16:creationId xmlns:a16="http://schemas.microsoft.com/office/drawing/2014/main" id="{8922695E-2015-4B64-A53D-A8F0E3F2C5B1}"/>
            </a:ext>
          </a:extLst>
        </xdr:cNvPr>
        <xdr:cNvSpPr/>
      </xdr:nvSpPr>
      <xdr:spPr>
        <a:xfrm>
          <a:off x="12547601" y="192881"/>
          <a:ext cx="2340864" cy="914400"/>
        </a:xfrm>
        <a:prstGeom prst="roundRect">
          <a:avLst/>
        </a:prstGeom>
        <a:solidFill>
          <a:schemeClr val="bg1"/>
        </a:solidFill>
        <a:ln>
          <a:noFill/>
        </a:ln>
        <a:effectLst>
          <a:outerShdw blurRad="127000" dist="50800" dir="54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71EE5D-D18D-4C94-9D76-3CDCB0E1C5D8}" type="TxLink">
            <a:rPr lang="en-US" sz="2600" b="1" i="0" u="none" strike="noStrike">
              <a:solidFill>
                <a:srgbClr val="7FBFA3"/>
              </a:solidFill>
              <a:latin typeface="Segoe UI"/>
              <a:cs typeface="Segoe UI"/>
            </a:rPr>
            <a:pPr algn="ctr"/>
            <a:t>4,511</a:t>
          </a:fld>
          <a:endParaRPr lang="en-US" sz="1100"/>
        </a:p>
      </xdr:txBody>
    </xdr:sp>
    <xdr:clientData/>
  </xdr:twoCellAnchor>
  <xdr:twoCellAnchor>
    <xdr:from>
      <xdr:col>25</xdr:col>
      <xdr:colOff>85726</xdr:colOff>
      <xdr:row>1</xdr:row>
      <xdr:rowOff>11906</xdr:rowOff>
    </xdr:from>
    <xdr:to>
      <xdr:col>28</xdr:col>
      <xdr:colOff>600076</xdr:colOff>
      <xdr:row>6</xdr:row>
      <xdr:rowOff>21431</xdr:rowOff>
    </xdr:to>
    <xdr:sp macro="" textlink="KPI!J6">
      <xdr:nvSpPr>
        <xdr:cNvPr id="11" name="Rectangle: Rounded Corners 10">
          <a:extLst>
            <a:ext uri="{FF2B5EF4-FFF2-40B4-BE49-F238E27FC236}">
              <a16:creationId xmlns:a16="http://schemas.microsoft.com/office/drawing/2014/main" id="{59FFF91F-3BB9-4EFE-82C4-74864872942C}"/>
            </a:ext>
          </a:extLst>
        </xdr:cNvPr>
        <xdr:cNvSpPr/>
      </xdr:nvSpPr>
      <xdr:spPr>
        <a:xfrm>
          <a:off x="15325726" y="192881"/>
          <a:ext cx="2343150" cy="914400"/>
        </a:xfrm>
        <a:prstGeom prst="roundRect">
          <a:avLst/>
        </a:prstGeom>
        <a:solidFill>
          <a:schemeClr val="bg1"/>
        </a:solidFill>
        <a:ln>
          <a:noFill/>
        </a:ln>
        <a:effectLst>
          <a:outerShdw blurRad="127000" dist="50800" dir="54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13984F2-5C80-4847-988A-FCA350F6901E}" type="TxLink">
            <a:rPr lang="en-US" sz="2600" b="1" i="0" u="none" strike="noStrike">
              <a:solidFill>
                <a:srgbClr val="1F7A63"/>
              </a:solidFill>
              <a:latin typeface="Segoe UI"/>
              <a:cs typeface="Segoe UI"/>
            </a:rPr>
            <a:pPr algn="ctr"/>
            <a:t>₹ 110 K</a:t>
          </a:fld>
          <a:endParaRPr lang="en-US" sz="1100"/>
        </a:p>
      </xdr:txBody>
    </xdr:sp>
    <xdr:clientData/>
  </xdr:twoCellAnchor>
  <xdr:twoCellAnchor>
    <xdr:from>
      <xdr:col>0</xdr:col>
      <xdr:colOff>142873</xdr:colOff>
      <xdr:row>0</xdr:row>
      <xdr:rowOff>66675</xdr:rowOff>
    </xdr:from>
    <xdr:to>
      <xdr:col>10</xdr:col>
      <xdr:colOff>36193</xdr:colOff>
      <xdr:row>8</xdr:row>
      <xdr:rowOff>36195</xdr:rowOff>
    </xdr:to>
    <xdr:sp macro="" textlink="">
      <xdr:nvSpPr>
        <xdr:cNvPr id="2050" name="Text Box 2">
          <a:extLst>
            <a:ext uri="{FF2B5EF4-FFF2-40B4-BE49-F238E27FC236}">
              <a16:creationId xmlns:a16="http://schemas.microsoft.com/office/drawing/2014/main" id="{A46A2748-2F3B-A2B7-640F-ACBE075D7834}"/>
            </a:ext>
          </a:extLst>
        </xdr:cNvPr>
        <xdr:cNvSpPr txBox="1">
          <a:spLocks noChangeArrowheads="1"/>
        </xdr:cNvSpPr>
      </xdr:nvSpPr>
      <xdr:spPr bwMode="auto">
        <a:xfrm>
          <a:off x="142873" y="66675"/>
          <a:ext cx="5989320" cy="141732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100" b="1" i="0" u="none" strike="noStrike" baseline="0">
              <a:solidFill>
                <a:srgbClr val="1F7A63"/>
              </a:solidFill>
              <a:latin typeface="Segoe UI" panose="020B0502040204020203" pitchFamily="34" charset="0"/>
              <a:ea typeface="Segoe UI Black" panose="020B0A02040204020203" pitchFamily="34" charset="0"/>
              <a:cs typeface="Segoe UI" panose="020B0502040204020203" pitchFamily="34" charset="0"/>
            </a:rPr>
            <a:t>Customer Revenue Analysis Dashboard</a:t>
          </a:r>
          <a:endParaRPr lang="en-US" sz="3100" b="1">
            <a:solidFill>
              <a:srgbClr val="6B7280"/>
            </a:solidFill>
            <a:latin typeface="Segoe UI" panose="020B0502040204020203" pitchFamily="34" charset="0"/>
            <a:ea typeface="Segoe UI Black" panose="020B0A02040204020203" pitchFamily="34" charset="0"/>
            <a:cs typeface="Segoe UI" panose="020B0502040204020203" pitchFamily="34" charset="0"/>
          </a:endParaRPr>
        </a:p>
        <a:p>
          <a:pPr algn="l" rtl="0">
            <a:defRPr sz="1000"/>
          </a:pPr>
          <a:r>
            <a:rPr lang="en-US" sz="1300" b="0">
              <a:solidFill>
                <a:srgbClr val="6B7280"/>
              </a:solidFill>
              <a:latin typeface="Segoe UI" panose="020B0502040204020203" pitchFamily="34" charset="0"/>
              <a:cs typeface="Segoe UI" panose="020B0502040204020203" pitchFamily="34" charset="0"/>
            </a:rPr>
            <a:t>Excel &amp; MySQL | 2023 | INR</a:t>
          </a:r>
          <a:endParaRPr lang="en-US" sz="1300" b="0" i="0" u="none" strike="noStrike" baseline="0">
            <a:solidFill>
              <a:srgbClr val="6B7280"/>
            </a:solidFill>
            <a:latin typeface="Segoe UI" panose="020B0502040204020203" pitchFamily="34" charset="0"/>
            <a:cs typeface="Segoe UI" panose="020B0502040204020203" pitchFamily="34" charset="0"/>
          </a:endParaRPr>
        </a:p>
      </xdr:txBody>
    </xdr:sp>
    <xdr:clientData/>
  </xdr:twoCellAnchor>
  <xdr:twoCellAnchor>
    <xdr:from>
      <xdr:col>12</xdr:col>
      <xdr:colOff>19050</xdr:colOff>
      <xdr:row>4</xdr:row>
      <xdr:rowOff>41592</xdr:rowOff>
    </xdr:from>
    <xdr:to>
      <xdr:col>14</xdr:col>
      <xdr:colOff>228600</xdr:colOff>
      <xdr:row>6</xdr:row>
      <xdr:rowOff>3492</xdr:rowOff>
    </xdr:to>
    <xdr:sp macro="" textlink="">
      <xdr:nvSpPr>
        <xdr:cNvPr id="2051" name="Text Box 3">
          <a:extLst>
            <a:ext uri="{FF2B5EF4-FFF2-40B4-BE49-F238E27FC236}">
              <a16:creationId xmlns:a16="http://schemas.microsoft.com/office/drawing/2014/main" id="{AF278A9B-FDC0-1462-D3F0-5658FBD48085}"/>
            </a:ext>
          </a:extLst>
        </xdr:cNvPr>
        <xdr:cNvSpPr txBox="1">
          <a:spLocks noChangeArrowheads="1"/>
        </xdr:cNvSpPr>
      </xdr:nvSpPr>
      <xdr:spPr bwMode="auto">
        <a:xfrm>
          <a:off x="7334250" y="765492"/>
          <a:ext cx="1428750" cy="323850"/>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1100">
              <a:latin typeface="Segoe UI" panose="020B0502040204020203" pitchFamily="34" charset="0"/>
              <a:cs typeface="Segoe UI" panose="020B0502040204020203" pitchFamily="34" charset="0"/>
            </a:rPr>
            <a:t>💰 </a:t>
          </a:r>
          <a:r>
            <a:rPr lang="en-US" sz="1100" b="0" i="0" u="none" strike="noStrike" baseline="0">
              <a:solidFill>
                <a:srgbClr val="000000"/>
              </a:solidFill>
              <a:latin typeface="Segoe UI" panose="020B0502040204020203" pitchFamily="34" charset="0"/>
              <a:cs typeface="Segoe UI" panose="020B0502040204020203" pitchFamily="34" charset="0"/>
            </a:rPr>
            <a:t>TOTAL REVENUE</a:t>
          </a:r>
        </a:p>
      </xdr:txBody>
    </xdr:sp>
    <xdr:clientData/>
  </xdr:twoCellAnchor>
  <xdr:twoCellAnchor>
    <xdr:from>
      <xdr:col>16</xdr:col>
      <xdr:colOff>490855</xdr:colOff>
      <xdr:row>4</xdr:row>
      <xdr:rowOff>44767</xdr:rowOff>
    </xdr:from>
    <xdr:to>
      <xdr:col>18</xdr:col>
      <xdr:colOff>591439</xdr:colOff>
      <xdr:row>6</xdr:row>
      <xdr:rowOff>2857</xdr:rowOff>
    </xdr:to>
    <xdr:sp macro="" textlink="">
      <xdr:nvSpPr>
        <xdr:cNvPr id="2052" name="Text Box 4">
          <a:extLst>
            <a:ext uri="{FF2B5EF4-FFF2-40B4-BE49-F238E27FC236}">
              <a16:creationId xmlns:a16="http://schemas.microsoft.com/office/drawing/2014/main" id="{878213AD-ACE2-7482-C6C3-9F648B3262E1}"/>
            </a:ext>
          </a:extLst>
        </xdr:cNvPr>
        <xdr:cNvSpPr txBox="1">
          <a:spLocks noChangeArrowheads="1"/>
        </xdr:cNvSpPr>
      </xdr:nvSpPr>
      <xdr:spPr bwMode="auto">
        <a:xfrm>
          <a:off x="10244455" y="768667"/>
          <a:ext cx="1319784" cy="320040"/>
        </a:xfrm>
        <a:prstGeom prst="rect">
          <a:avLst/>
        </a:prstGeom>
        <a:solidFill>
          <a:schemeClr val="bg1"/>
        </a:solidFill>
        <a:ln w="9525">
          <a:noFill/>
          <a:miter lim="800000"/>
          <a:headEnd/>
          <a:tailEnd/>
        </a:ln>
      </xdr:spPr>
      <xdr:txBody>
        <a:bodyPr vertOverflow="clip" wrap="square" lIns="27432" tIns="27432" rIns="0" bIns="0" anchor="ctr" upright="1"/>
        <a:lstStyle/>
        <a:p>
          <a:pPr algn="ctr" rtl="0">
            <a:defRPr sz="1000"/>
          </a:pPr>
          <a:r>
            <a:rPr lang="en-US" sz="1100">
              <a:latin typeface="Segoe UI" panose="020B0502040204020203" pitchFamily="34" charset="0"/>
              <a:cs typeface="Segoe UI" panose="020B0502040204020203" pitchFamily="34" charset="0"/>
            </a:rPr>
            <a:t>🧾 </a:t>
          </a:r>
          <a:r>
            <a:rPr lang="en-US" sz="1100" b="0" i="0" u="none" strike="noStrike" baseline="0">
              <a:solidFill>
                <a:srgbClr val="000000"/>
              </a:solidFill>
              <a:latin typeface="Segoe UI" panose="020B0502040204020203" pitchFamily="34" charset="0"/>
              <a:cs typeface="Segoe UI" panose="020B0502040204020203" pitchFamily="34" charset="0"/>
            </a:rPr>
            <a:t>TOTAL ORDERS</a:t>
          </a:r>
        </a:p>
      </xdr:txBody>
    </xdr:sp>
    <xdr:clientData/>
  </xdr:twoCellAnchor>
  <xdr:twoCellAnchor>
    <xdr:from>
      <xdr:col>21</xdr:col>
      <xdr:colOff>244094</xdr:colOff>
      <xdr:row>4</xdr:row>
      <xdr:rowOff>44132</xdr:rowOff>
    </xdr:from>
    <xdr:to>
      <xdr:col>23</xdr:col>
      <xdr:colOff>347345</xdr:colOff>
      <xdr:row>6</xdr:row>
      <xdr:rowOff>2222</xdr:rowOff>
    </xdr:to>
    <xdr:sp macro="" textlink="">
      <xdr:nvSpPr>
        <xdr:cNvPr id="2053" name="Text Box 5">
          <a:extLst>
            <a:ext uri="{FF2B5EF4-FFF2-40B4-BE49-F238E27FC236}">
              <a16:creationId xmlns:a16="http://schemas.microsoft.com/office/drawing/2014/main" id="{4A0C9900-16D0-C5D5-4095-4E45F9699432}"/>
            </a:ext>
          </a:extLst>
        </xdr:cNvPr>
        <xdr:cNvSpPr txBox="1">
          <a:spLocks noChangeArrowheads="1"/>
        </xdr:cNvSpPr>
      </xdr:nvSpPr>
      <xdr:spPr bwMode="auto">
        <a:xfrm>
          <a:off x="13045694" y="768032"/>
          <a:ext cx="1322451" cy="320040"/>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1100">
              <a:latin typeface="Segoe UI" panose="020B0502040204020203" pitchFamily="34" charset="0"/>
              <a:cs typeface="Segoe UI" panose="020B0502040204020203" pitchFamily="34" charset="0"/>
            </a:rPr>
            <a:t>📦</a:t>
          </a:r>
          <a:r>
            <a:rPr lang="en-US" sz="1100"/>
            <a:t> </a:t>
          </a:r>
          <a:r>
            <a:rPr lang="en-US" sz="1100" b="0" i="0" u="none" strike="noStrike" baseline="0">
              <a:solidFill>
                <a:srgbClr val="000000"/>
              </a:solidFill>
              <a:latin typeface="Segoe UI" panose="020B0502040204020203" pitchFamily="34" charset="0"/>
              <a:cs typeface="Segoe UI" panose="020B0502040204020203" pitchFamily="34" charset="0"/>
            </a:rPr>
            <a:t>QUANTITY SOLD</a:t>
          </a:r>
        </a:p>
      </xdr:txBody>
    </xdr:sp>
    <xdr:clientData/>
  </xdr:twoCellAnchor>
  <xdr:twoCellAnchor>
    <xdr:from>
      <xdr:col>26</xdr:col>
      <xdr:colOff>0</xdr:colOff>
      <xdr:row>4</xdr:row>
      <xdr:rowOff>43497</xdr:rowOff>
    </xdr:from>
    <xdr:to>
      <xdr:col>28</xdr:col>
      <xdr:colOff>266700</xdr:colOff>
      <xdr:row>6</xdr:row>
      <xdr:rowOff>1587</xdr:rowOff>
    </xdr:to>
    <xdr:sp macro="" textlink="">
      <xdr:nvSpPr>
        <xdr:cNvPr id="2054" name="Text Box 6">
          <a:extLst>
            <a:ext uri="{FF2B5EF4-FFF2-40B4-BE49-F238E27FC236}">
              <a16:creationId xmlns:a16="http://schemas.microsoft.com/office/drawing/2014/main" id="{47ECDA71-C2B0-7E6D-6FBC-EA6BF141899B}"/>
            </a:ext>
          </a:extLst>
        </xdr:cNvPr>
        <xdr:cNvSpPr txBox="1">
          <a:spLocks noChangeArrowheads="1"/>
        </xdr:cNvSpPr>
      </xdr:nvSpPr>
      <xdr:spPr bwMode="auto">
        <a:xfrm>
          <a:off x="15849600" y="767397"/>
          <a:ext cx="1485900" cy="320040"/>
        </a:xfrm>
        <a:prstGeom prst="rect">
          <a:avLst/>
        </a:prstGeom>
        <a:solidFill>
          <a:srgbClr val="FFFFFF"/>
        </a:solidFill>
        <a:ln w="9525">
          <a:noFill/>
          <a:miter lim="800000"/>
          <a:headEnd/>
          <a:tailEnd/>
        </a:ln>
      </xdr:spPr>
      <xdr:txBody>
        <a:bodyPr vertOverflow="clip" wrap="square" lIns="27432" tIns="27432" rIns="0" bIns="0" anchor="ctr" upright="1"/>
        <a:lstStyle/>
        <a:p>
          <a:pPr algn="ctr" rtl="0">
            <a:defRPr sz="1000"/>
          </a:pPr>
          <a:r>
            <a:rPr lang="en-US" sz="1100">
              <a:latin typeface="Segoe UI" panose="020B0502040204020203" pitchFamily="34" charset="0"/>
              <a:cs typeface="Segoe UI" panose="020B0502040204020203" pitchFamily="34" charset="0"/>
            </a:rPr>
            <a:t>💳</a:t>
          </a:r>
          <a:r>
            <a:rPr lang="en-US" sz="1100"/>
            <a:t> </a:t>
          </a:r>
          <a:r>
            <a:rPr lang="en-US" sz="1100" b="0" i="0" u="none" strike="noStrike" baseline="0">
              <a:solidFill>
                <a:srgbClr val="000000"/>
              </a:solidFill>
              <a:latin typeface="Segoe UI" panose="020B0502040204020203" pitchFamily="34" charset="0"/>
              <a:cs typeface="Segoe UI" panose="020B0502040204020203" pitchFamily="34" charset="0"/>
            </a:rPr>
            <a:t>AVG ORDER VALUE</a:t>
          </a:r>
        </a:p>
      </xdr:txBody>
    </xdr:sp>
    <xdr:clientData/>
  </xdr:twoCellAnchor>
  <xdr:twoCellAnchor>
    <xdr:from>
      <xdr:col>6</xdr:col>
      <xdr:colOff>546496</xdr:colOff>
      <xdr:row>8</xdr:row>
      <xdr:rowOff>104775</xdr:rowOff>
    </xdr:from>
    <xdr:to>
      <xdr:col>10</xdr:col>
      <xdr:colOff>28336</xdr:colOff>
      <xdr:row>22</xdr:row>
      <xdr:rowOff>40005</xdr:rowOff>
    </xdr:to>
    <xdr:grpSp>
      <xdr:nvGrpSpPr>
        <xdr:cNvPr id="22" name="Group 21">
          <a:extLst>
            <a:ext uri="{FF2B5EF4-FFF2-40B4-BE49-F238E27FC236}">
              <a16:creationId xmlns:a16="http://schemas.microsoft.com/office/drawing/2014/main" id="{0F6595A7-81D3-545C-275F-E50A176CA640}"/>
            </a:ext>
          </a:extLst>
        </xdr:cNvPr>
        <xdr:cNvGrpSpPr/>
      </xdr:nvGrpSpPr>
      <xdr:grpSpPr>
        <a:xfrm>
          <a:off x="4204096" y="1552575"/>
          <a:ext cx="1920240" cy="2468880"/>
          <a:chOff x="4067175" y="1552575"/>
          <a:chExt cx="1920240" cy="2468880"/>
        </a:xfrm>
      </xdr:grpSpPr>
      <xdr:sp macro="" textlink="">
        <xdr:nvSpPr>
          <xdr:cNvPr id="12" name="Rectangle 11">
            <a:extLst>
              <a:ext uri="{FF2B5EF4-FFF2-40B4-BE49-F238E27FC236}">
                <a16:creationId xmlns:a16="http://schemas.microsoft.com/office/drawing/2014/main" id="{5C3F9A32-7511-2FB7-0351-1ECB8897F775}"/>
              </a:ext>
            </a:extLst>
          </xdr:cNvPr>
          <xdr:cNvSpPr/>
        </xdr:nvSpPr>
        <xdr:spPr>
          <a:xfrm>
            <a:off x="4067175" y="1552575"/>
            <a:ext cx="1920240" cy="2468880"/>
          </a:xfrm>
          <a:prstGeom prst="rect">
            <a:avLst/>
          </a:prstGeom>
          <a:solidFill>
            <a:schemeClr val="bg1"/>
          </a:solidFill>
          <a:ln>
            <a:solidFill>
              <a:srgbClr val="E5E7EB"/>
            </a:solidFill>
          </a:ln>
          <a:effectLst>
            <a:outerShdw blurRad="127000" dist="50800" dir="5400000" algn="t"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6" name="Product Category 1">
                <a:extLst>
                  <a:ext uri="{FF2B5EF4-FFF2-40B4-BE49-F238E27FC236}">
                    <a16:creationId xmlns:a16="http://schemas.microsoft.com/office/drawing/2014/main" id="{A3F44673-53D3-479C-8988-83F50CFB3B1E}"/>
                  </a:ext>
                </a:extLst>
              </xdr:cNvPr>
              <xdr:cNvGraphicFramePr/>
            </xdr:nvGraphicFramePr>
            <xdr:xfrm>
              <a:off x="4086225" y="1590675"/>
              <a:ext cx="1897380" cy="2395728"/>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4223146" y="1590675"/>
                <a:ext cx="1897380" cy="2395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320873</xdr:colOff>
      <xdr:row>8</xdr:row>
      <xdr:rowOff>104775</xdr:rowOff>
    </xdr:from>
    <xdr:to>
      <xdr:col>6</xdr:col>
      <xdr:colOff>412313</xdr:colOff>
      <xdr:row>22</xdr:row>
      <xdr:rowOff>40005</xdr:rowOff>
    </xdr:to>
    <xdr:grpSp>
      <xdr:nvGrpSpPr>
        <xdr:cNvPr id="23" name="Group 22">
          <a:extLst>
            <a:ext uri="{FF2B5EF4-FFF2-40B4-BE49-F238E27FC236}">
              <a16:creationId xmlns:a16="http://schemas.microsoft.com/office/drawing/2014/main" id="{FD085B19-E6E8-7395-5BD1-1D360C55F431}"/>
            </a:ext>
          </a:extLst>
        </xdr:cNvPr>
        <xdr:cNvGrpSpPr/>
      </xdr:nvGrpSpPr>
      <xdr:grpSpPr>
        <a:xfrm>
          <a:off x="2149673" y="1552575"/>
          <a:ext cx="1920240" cy="2468880"/>
          <a:chOff x="2009775" y="1533525"/>
          <a:chExt cx="1920240" cy="2468880"/>
        </a:xfrm>
      </xdr:grpSpPr>
      <xdr:sp macro="" textlink="">
        <xdr:nvSpPr>
          <xdr:cNvPr id="18" name="Rectangle 17">
            <a:extLst>
              <a:ext uri="{FF2B5EF4-FFF2-40B4-BE49-F238E27FC236}">
                <a16:creationId xmlns:a16="http://schemas.microsoft.com/office/drawing/2014/main" id="{F5045EF6-0B29-4332-BFCA-C7E9E42642C8}"/>
              </a:ext>
            </a:extLst>
          </xdr:cNvPr>
          <xdr:cNvSpPr/>
        </xdr:nvSpPr>
        <xdr:spPr>
          <a:xfrm>
            <a:off x="2009775" y="1533525"/>
            <a:ext cx="1920240" cy="2468880"/>
          </a:xfrm>
          <a:prstGeom prst="rect">
            <a:avLst/>
          </a:prstGeom>
          <a:solidFill>
            <a:schemeClr val="bg1"/>
          </a:solidFill>
          <a:ln>
            <a:solidFill>
              <a:srgbClr val="E5E7EB"/>
            </a:solidFill>
          </a:ln>
          <a:effectLst>
            <a:outerShdw blurRad="127000" dist="50800" dir="5400000" algn="t"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0" name="segment 1">
                <a:extLst>
                  <a:ext uri="{FF2B5EF4-FFF2-40B4-BE49-F238E27FC236}">
                    <a16:creationId xmlns:a16="http://schemas.microsoft.com/office/drawing/2014/main" id="{9805AEDF-5558-4AC8-8072-AA8F3EB8C66F}"/>
                  </a:ext>
                </a:extLst>
              </xdr:cNvPr>
              <xdr:cNvGraphicFramePr/>
            </xdr:nvGraphicFramePr>
            <xdr:xfrm>
              <a:off x="2066925" y="1562100"/>
              <a:ext cx="1828800" cy="2395728"/>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206823" y="1581150"/>
                <a:ext cx="1828800" cy="2395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95250</xdr:colOff>
      <xdr:row>8</xdr:row>
      <xdr:rowOff>104775</xdr:rowOff>
    </xdr:from>
    <xdr:to>
      <xdr:col>3</xdr:col>
      <xdr:colOff>186690</xdr:colOff>
      <xdr:row>22</xdr:row>
      <xdr:rowOff>40005</xdr:rowOff>
    </xdr:to>
    <xdr:grpSp>
      <xdr:nvGrpSpPr>
        <xdr:cNvPr id="25" name="Group 24">
          <a:extLst>
            <a:ext uri="{FF2B5EF4-FFF2-40B4-BE49-F238E27FC236}">
              <a16:creationId xmlns:a16="http://schemas.microsoft.com/office/drawing/2014/main" id="{9173838C-B4E4-0B25-426C-F844E4AF6466}"/>
            </a:ext>
          </a:extLst>
        </xdr:cNvPr>
        <xdr:cNvGrpSpPr/>
      </xdr:nvGrpSpPr>
      <xdr:grpSpPr>
        <a:xfrm>
          <a:off x="95250" y="1552575"/>
          <a:ext cx="1920240" cy="2468880"/>
          <a:chOff x="95250" y="1543050"/>
          <a:chExt cx="1920240" cy="2468880"/>
        </a:xfrm>
      </xdr:grpSpPr>
      <xdr:sp macro="" textlink="">
        <xdr:nvSpPr>
          <xdr:cNvPr id="17" name="Rectangle 16">
            <a:extLst>
              <a:ext uri="{FF2B5EF4-FFF2-40B4-BE49-F238E27FC236}">
                <a16:creationId xmlns:a16="http://schemas.microsoft.com/office/drawing/2014/main" id="{B6260FB5-41AD-401D-A08D-2D83CD3EB11A}"/>
              </a:ext>
            </a:extLst>
          </xdr:cNvPr>
          <xdr:cNvSpPr/>
        </xdr:nvSpPr>
        <xdr:spPr>
          <a:xfrm>
            <a:off x="95250" y="1543050"/>
            <a:ext cx="1920240" cy="2468880"/>
          </a:xfrm>
          <a:prstGeom prst="rect">
            <a:avLst/>
          </a:prstGeom>
          <a:solidFill>
            <a:schemeClr val="bg1"/>
          </a:solidFill>
          <a:ln>
            <a:solidFill>
              <a:srgbClr val="E5E7EB"/>
            </a:solidFill>
          </a:ln>
          <a:effectLst>
            <a:outerShdw blurRad="127000" dist="50800" dir="5400000" algn="t"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0AF8BB71-8C04-43B5-864E-5CF80A347C69}"/>
                  </a:ext>
                </a:extLst>
              </xdr:cNvPr>
              <xdr:cNvGraphicFramePr/>
            </xdr:nvGraphicFramePr>
            <xdr:xfrm>
              <a:off x="133350" y="1600200"/>
              <a:ext cx="1828800" cy="2390774"/>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3350" y="1609725"/>
                <a:ext cx="1828800" cy="2390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57870368" backgroundQuery="1" createdVersion="8" refreshedVersion="8" minRefreshableVersion="3" recordCount="0" supportSubquery="1" supportAdvancedDrill="1" xr:uid="{E8B75B5A-D724-4D5A-B765-C3D2CE5C1042}">
  <cacheSource type="external" connectionId="2"/>
  <cacheFields count="4">
    <cacheField name="[customer_revenue_db_sales_data].[Month].[Month]" caption="Month" numFmtId="0" hierarchy="10" level="1">
      <sharedItems count="12">
        <s v="April"/>
        <s v="August"/>
        <s v="December"/>
        <s v="February"/>
        <s v="January"/>
        <s v="July"/>
        <s v="June"/>
        <s v="March"/>
        <s v="May"/>
        <s v="November"/>
        <s v="October"/>
        <s v="September"/>
      </sharedItems>
    </cacheField>
    <cacheField name="[Measures].[Sum of Revenue]" caption="Sum of Revenue" numFmtId="0" hierarchy="13" level="32767"/>
    <cacheField name="[customer_revenue_db_sales_data].[order_date].[order_date]" caption="order_date" numFmtId="0" hierarchy="1" level="1">
      <sharedItems containsSemiMixedTypes="0" containsNonDate="0" containsString="0"/>
    </cacheField>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2" memberValueDatatype="7" unbalanced="0">
      <fieldsUsage count="2">
        <fieldUsage x="-1"/>
        <fieldUsage x="2"/>
      </fieldsUsage>
    </cacheHierarchy>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3"/>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2" memberValueDatatype="130" unbalanced="0">
      <fieldsUsage count="2">
        <fieldUsage x="-1"/>
        <fieldUsage x="0"/>
      </fieldsUsage>
    </cacheHierarchy>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oneField="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6099537" backgroundQuery="1" createdVersion="8" refreshedVersion="8" minRefreshableVersion="3" recordCount="0" supportSubquery="1" supportAdvancedDrill="1" xr:uid="{BA02B398-3598-46A2-8959-D8A619639B80}">
  <cacheSource type="external" connectionId="2"/>
  <cacheFields count="2">
    <cacheField name="[Measures].[Sum of quantity]" caption="Sum of quantity" numFmtId="0" hierarchy="16" level="32767"/>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1"/>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oneField="1">
      <fieldsUsage count="1">
        <fieldUsage x="0"/>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60879632" backgroundQuery="1" createdVersion="8" refreshedVersion="8" minRefreshableVersion="3" recordCount="0" supportSubquery="1" supportAdvancedDrill="1" xr:uid="{C595C9A8-0A42-4B25-AB65-813C685F0989}">
  <cacheSource type="external" connectionId="2"/>
  <cacheFields count="3">
    <cacheField name="[Measures].[Sum of Revenue]" caption="Sum of Revenue" numFmtId="0" hierarchy="13" level="32767"/>
    <cacheField name="[Measures].[Count of order_id]" caption="Count of order_id" numFmtId="0" hierarchy="14" level="32767"/>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2"/>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oneField="1">
      <fieldsUsage count="1">
        <fieldUsage x="0"/>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6041667" backgroundQuery="1" createdVersion="8" refreshedVersion="8" minRefreshableVersion="3" recordCount="0" supportSubquery="1" supportAdvancedDrill="1" xr:uid="{D264B2E1-8685-45E3-8EEB-0BD2B08B9371}">
  <cacheSource type="external" connectionId="2"/>
  <cacheFields count="2">
    <cacheField name="[Measures].[Sum of Revenue]" caption="Sum of Revenue" numFmtId="0" hierarchy="13" level="32767"/>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1"/>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oneField="1">
      <fieldsUsage count="1">
        <fieldUsage x="0"/>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60300924" backgroundQuery="1" createdVersion="8" refreshedVersion="8" minRefreshableVersion="3" recordCount="0" supportSubquery="1" supportAdvancedDrill="1" xr:uid="{613B02A7-9276-4BA3-9467-3CC342C51D49}">
  <cacheSource type="external" connectionId="2"/>
  <cacheFields count="2">
    <cacheField name="[Measures].[Count of order_id]" caption="Count of order_id" numFmtId="0" hierarchy="14" level="32767"/>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1"/>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oneField="1">
      <fieldsUsage count="1">
        <fieldUsage x="0"/>
      </fieldsUsage>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58449076" backgroundQuery="1" createdVersion="8" refreshedVersion="8" minRefreshableVersion="3" recordCount="0" supportSubquery="1" supportAdvancedDrill="1" xr:uid="{5206FC3C-D57C-4F11-A78E-6AA69E7AB744}">
  <cacheSource type="external" connectionId="2"/>
  <cacheFields count="3">
    <cacheField name="[customer_revenue_db_sales_data].[segment].[segment]" caption="segment" numFmtId="0" hierarchy="4" level="1">
      <sharedItems count="3">
        <s v="Consumer"/>
        <s v="Corporate"/>
        <s v="Home Office"/>
      </sharedItems>
    </cacheField>
    <cacheField name="[Measures].[Sum of sales]" caption="Sum of sales" numFmtId="0" hierarchy="17" level="32767"/>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fieldsUsage count="2">
        <fieldUsage x="-1"/>
        <fieldUsage x="0"/>
      </fieldsUsage>
    </cacheHierarchy>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2"/>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oneField="1">
      <fieldsUsage count="1">
        <fieldUsage x="1"/>
      </fieldsUsage>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59606485" backgroundQuery="1" createdVersion="8" refreshedVersion="8" minRefreshableVersion="3" recordCount="0" supportSubquery="1" supportAdvancedDrill="1" xr:uid="{A2F24C8C-7F85-4AB7-A099-7BDFF728BC59}">
  <cacheSource type="external" connectionId="2"/>
  <cacheFields count="4">
    <cacheField name="[customer_revenue_db_sales_data].[customer_name].[customer_name]" caption="customer_name" numFmtId="0" hierarchy="3" level="1">
      <sharedItems count="20">
        <s v="Arjun Malhotra"/>
        <s v="Kavita Singh"/>
        <s v="Nitin Joshi"/>
        <s v="Rahul Sharma"/>
        <s v="Sneha Kulkarni"/>
        <s v="Mehul Jain" u="1"/>
        <s v="Pooja Mehta" u="1"/>
        <s v="Ritu Saxena" u="1"/>
        <s v="Rohan Iyer" u="1"/>
        <s v="Neha Verma" u="1"/>
        <s v="Shweta Joshi" u="1"/>
        <s v="Aman Gupta" u="1"/>
        <s v="Manish Khanna" u="1"/>
        <s v="Divya Kapoor" u="1"/>
        <s v="Suresh Patil" u="1"/>
        <s v="Aakash Kulkarni" u="1"/>
        <s v="Vikram Rao" u="1"/>
        <s v="Anjali Desai" u="1"/>
        <s v="Kunal Shah" u="1"/>
        <s v="Priya Nair" u="1"/>
      </sharedItems>
    </cacheField>
    <cacheField name="[Measures].[Sum of Revenue]" caption="Sum of Revenue" numFmtId="0" hierarchy="13" level="32767"/>
    <cacheField name="[customer_revenue_db_sales_data].[Revenue].[Revenue]" caption="Revenue" numFmtId="0" hierarchy="12" level="1">
      <sharedItems containsSemiMixedTypes="0" containsNonDate="0" containsString="0"/>
    </cacheField>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2" memberValueDatatype="130" unbalanced="0">
      <fieldsUsage count="2">
        <fieldUsage x="-1"/>
        <fieldUsage x="0"/>
      </fieldsUsage>
    </cacheHierarchy>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3"/>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2" memberValueDatatype="20" unbalanced="0">
      <fieldsUsage count="2">
        <fieldUsage x="-1"/>
        <fieldUsage x="2"/>
      </fieldsUsage>
    </cacheHierarchy>
    <cacheHierarchy uniqueName="[Measures].[Sum of Revenue]" caption="Sum of Revenue" measure="1" displayFolder="" measureGroup="customer_revenue_db_sales_data" count="0" oneField="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59027777" backgroundQuery="1" createdVersion="8" refreshedVersion="8" minRefreshableVersion="3" recordCount="0" supportSubquery="1" supportAdvancedDrill="1" xr:uid="{2788599D-F8E5-4CE3-BEB5-7CF7F29B2777}">
  <cacheSource type="external" connectionId="2"/>
  <cacheFields count="3">
    <cacheField name="[customer_revenue_db_sales_data].[product_category].[product_category]" caption="product_category" numFmtId="0" hierarchy="6" level="1">
      <sharedItems count="3">
        <s v="Electronics"/>
        <s v="Furniture"/>
        <s v="Office Supplies"/>
      </sharedItems>
    </cacheField>
    <cacheField name="[Measures].[Sum of Revenue]" caption="Sum of Revenue" numFmtId="0" hierarchy="13" level="32767"/>
    <cacheField name="[customer_revenue_db_sales_data].[region].[region]" caption="region" numFmtId="0" hierarchy="5" level="1">
      <sharedItems containsSemiMixedTypes="0" containsNonDate="0" containsString="0"/>
    </cacheField>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2"/>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fieldsUsage count="2">
        <fieldUsage x="-1"/>
        <fieldUsage x="0"/>
      </fieldsUsage>
    </cacheHierarchy>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oneField="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859260069446" backgroundQuery="1" createdVersion="8" refreshedVersion="8" minRefreshableVersion="3" recordCount="0" supportSubquery="1" supportAdvancedDrill="1" xr:uid="{FA9BC3BC-0E2A-42D3-8962-015315F56B36}">
  <cacheSource type="external" connectionId="2"/>
  <cacheFields count="2">
    <cacheField name="[customer_revenue_db_sales_data].[region].[region]" caption="region" numFmtId="0" hierarchy="5" level="1">
      <sharedItems count="4">
        <s v="East"/>
        <s v="North"/>
        <s v="South"/>
        <s v="West"/>
      </sharedItems>
    </cacheField>
    <cacheField name="[Measures].[Sum of Revenue]" caption="Sum of Revenue" numFmtId="0" hierarchy="13" level="32767"/>
  </cacheFields>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fieldsUsage count="2">
        <fieldUsage x="-1"/>
        <fieldUsage x="0"/>
      </fieldsUsage>
    </cacheHierarchy>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oneField="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dimensions count="2">
    <dimension name="customer_revenue_db_sales_data" uniqueName="[customer_revenue_db_sales_data]" caption="customer_revenue_db_sales_data"/>
    <dimension measure="1" name="Measures" uniqueName="[Measures]" caption="Measures"/>
  </dimensions>
  <measureGroups count="1">
    <measureGroup name="customer_revenue_db_sales_data" caption="customer_revenue_db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646621643522" backgroundQuery="1" createdVersion="3" refreshedVersion="8" minRefreshableVersion="3" recordCount="0" supportSubquery="1" supportAdvancedDrill="1" xr:uid="{1F5242DE-92A3-4238-BF54-EE1BEE778F4C}">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customer_revenue_db_sales_data].[order_id]" caption="order_id" attribute="1" defaultMemberUniqueName="[customer_revenue_db_sales_data].[order_id].[All]" allUniqueName="[customer_revenue_db_sales_data].[order_id].[All]" dimensionUniqueName="[customer_revenue_db_sales_data]" displayFolder="" count="0" memberValueDatatype="130" unbalanced="0"/>
    <cacheHierarchy uniqueName="[customer_revenue_db_sales_data].[order_date]" caption="order_date" attribute="1" time="1" defaultMemberUniqueName="[customer_revenue_db_sales_data].[order_date].[All]" allUniqueName="[customer_revenue_db_sales_data].[order_date].[All]" dimensionUniqueName="[customer_revenue_db_sales_data]" displayFolder="" count="0" memberValueDatatype="7" unbalanced="0"/>
    <cacheHierarchy uniqueName="[customer_revenue_db_sales_data].[customer_id]" caption="customer_id" attribute="1" defaultMemberUniqueName="[customer_revenue_db_sales_data].[customer_id].[All]" allUniqueName="[customer_revenue_db_sales_data].[customer_id].[All]" dimensionUniqueName="[customer_revenue_db_sales_data]" displayFolder="" count="0" memberValueDatatype="130" unbalanced="0"/>
    <cacheHierarchy uniqueName="[customer_revenue_db_sales_data].[customer_name]" caption="customer_name" attribute="1" defaultMemberUniqueName="[customer_revenue_db_sales_data].[customer_name].[All]" allUniqueName="[customer_revenue_db_sales_data].[customer_name].[All]" dimensionUniqueName="[customer_revenue_db_sales_data]" displayFolder="" count="0" memberValueDatatype="130" unbalanced="0"/>
    <cacheHierarchy uniqueName="[customer_revenue_db_sales_data].[segment]" caption="segment" attribute="1" defaultMemberUniqueName="[customer_revenue_db_sales_data].[segment].[All]" allUniqueName="[customer_revenue_db_sales_data].[segment].[All]" dimensionUniqueName="[customer_revenue_db_sales_data]" displayFolder="" count="2" memberValueDatatype="130" unbalanced="0"/>
    <cacheHierarchy uniqueName="[customer_revenue_db_sales_data].[region]" caption="region" attribute="1" defaultMemberUniqueName="[customer_revenue_db_sales_data].[region].[All]" allUniqueName="[customer_revenue_db_sales_data].[region].[All]" dimensionUniqueName="[customer_revenue_db_sales_data]" displayFolder="" count="2" memberValueDatatype="130" unbalanced="0"/>
    <cacheHierarchy uniqueName="[customer_revenue_db_sales_data].[product_category]" caption="product_category" attribute="1" defaultMemberUniqueName="[customer_revenue_db_sales_data].[product_category].[All]" allUniqueName="[customer_revenue_db_sales_data].[product_category].[All]" dimensionUniqueName="[customer_revenue_db_sales_data]" displayFolder="" count="2" memberValueDatatype="130" unbalanced="0"/>
    <cacheHierarchy uniqueName="[customer_revenue_db_sales_data].[sales]" caption="sales" attribute="1" defaultMemberUniqueName="[customer_revenue_db_sales_data].[sales].[All]" allUniqueName="[customer_revenue_db_sales_data].[sales].[All]" dimensionUniqueName="[customer_revenue_db_sales_data]" displayFolder="" count="0" memberValueDatatype="20" unbalanced="0"/>
    <cacheHierarchy uniqueName="[customer_revenue_db_sales_data].[quantity]" caption="quantity" attribute="1" defaultMemberUniqueName="[customer_revenue_db_sales_data].[quantity].[All]" allUniqueName="[customer_revenue_db_sales_data].[quantity].[All]" dimensionUniqueName="[customer_revenue_db_sales_data]" displayFolder="" count="0" memberValueDatatype="20" unbalanced="0"/>
    <cacheHierarchy uniqueName="[customer_revenue_db_sales_data].[Year]" caption="Year" attribute="1" defaultMemberUniqueName="[customer_revenue_db_sales_data].[Year].[All]" allUniqueName="[customer_revenue_db_sales_data].[Year].[All]" dimensionUniqueName="[customer_revenue_db_sales_data]" displayFolder="" count="0" memberValueDatatype="20" unbalanced="0"/>
    <cacheHierarchy uniqueName="[customer_revenue_db_sales_data].[Month]" caption="Month" attribute="1" defaultMemberUniqueName="[customer_revenue_db_sales_data].[Month].[All]" allUniqueName="[customer_revenue_db_sales_data].[Month].[All]" dimensionUniqueName="[customer_revenue_db_sales_data]" displayFolder="" count="0" memberValueDatatype="130" unbalanced="0"/>
    <cacheHierarchy uniqueName="[customer_revenue_db_sales_data].[Month_No]" caption="Month_No" attribute="1" defaultMemberUniqueName="[customer_revenue_db_sales_data].[Month_No].[All]" allUniqueName="[customer_revenue_db_sales_data].[Month_No].[All]" dimensionUniqueName="[customer_revenue_db_sales_data]" displayFolder="" count="0" memberValueDatatype="20" unbalanced="0"/>
    <cacheHierarchy uniqueName="[customer_revenue_db_sales_data].[Revenue]" caption="Revenue" attribute="1" defaultMemberUniqueName="[customer_revenue_db_sales_data].[Revenue].[All]" allUniqueName="[customer_revenue_db_sales_data].[Revenue].[All]" dimensionUniqueName="[customer_revenue_db_sales_data]" displayFolder="" count="0" memberValueDatatype="20" unbalanced="0"/>
    <cacheHierarchy uniqueName="[Measures].[Sum of Revenue]" caption="Sum of Revenue" measure="1" displayFolder="" measureGroup="customer_revenue_db_sales_data"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customer_revenue_db_sales_data"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_revenue_db_sales_data"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customer_revenue_db_sales_data" count="0">
      <extLst>
        <ext xmlns:x15="http://schemas.microsoft.com/office/spreadsheetml/2010/11/main" uri="{B97F6D7D-B522-45F9-BDA1-12C45D357490}">
          <x15:cacheHierarchy aggregatedColumn="8"/>
        </ext>
      </extLst>
    </cacheHierarchy>
    <cacheHierarchy uniqueName="[Measures].[Sum of sales]" caption="Sum of sales" measure="1" displayFolder="" measureGroup="customer_revenue_db_sales_data" count="0">
      <extLst>
        <ext xmlns:x15="http://schemas.microsoft.com/office/spreadsheetml/2010/11/main" uri="{B97F6D7D-B522-45F9-BDA1-12C45D357490}">
          <x15:cacheHierarchy aggregatedColumn="7"/>
        </ext>
      </extLst>
    </cacheHierarchy>
    <cacheHierarchy uniqueName="[Measures].[Revenue K :=]" caption="Revenue K :=" measure="1" displayFolder="" measureGroup="customer_revenue_db_sales_data" count="0"/>
    <cacheHierarchy uniqueName="[Measures].[__XL_Count customer_revenue_db_sales_data]" caption="__XL_Count customer_revenue_db_sales_data" measure="1" displayFolder="" measureGroup="customer_revenue_db_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93346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1A36A-116D-4A04-9605-CF35CAB88FD4}" name="PivotTable2" cacheId="8" applyNumberFormats="0" applyBorderFormats="0" applyFontFormats="0" applyPatternFormats="0" applyAlignmentFormats="0" applyWidthHeightFormats="1" dataCaption="Values" tag="e501cdab-10a5-4881-9dfd-5d47d2fa277c" updatedVersion="8" minRefreshableVersion="3" useAutoFormatting="1" subtotalHiddenItems="1" itemPrintTitles="1" createdVersion="8" indent="0" compact="0" compactData="0" gridDropZones="1" multipleFieldFilters="0" chartFormat="19">
  <location ref="D3:E9" firstHeaderRow="2" firstDataRow="2"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5">
    <i>
      <x/>
    </i>
    <i>
      <x v="1"/>
    </i>
    <i>
      <x v="2"/>
    </i>
    <i>
      <x v="3"/>
    </i>
    <i t="grand">
      <x/>
    </i>
  </rowItems>
  <colItems count="1">
    <i/>
  </colItems>
  <dataFields count="1">
    <dataField name="Sum of Revenue" fld="1" baseField="0" baseItem="0"/>
  </dataFields>
  <chartFormats count="1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0AA42-4689-4EBA-8F9C-0972829A61B8}" name="PivotTable1" cacheId="0" applyNumberFormats="0" applyBorderFormats="0" applyFontFormats="0" applyPatternFormats="0" applyAlignmentFormats="0" applyWidthHeightFormats="1" dataCaption="Values" tag="166dbda7-140e-4687-b64d-b09121a99059" updatedVersion="8" minRefreshableVersion="5" useAutoFormatting="1" subtotalHiddenItems="1" itemPrintTitles="1" createdVersion="8" indent="0" compact="0" compactData="0" gridDropZones="1" multipleFieldFilters="0" chartFormat="26">
  <location ref="A3:B17" firstHeaderRow="2" firstDataRow="2" firstDataCol="1"/>
  <pivotFields count="4">
    <pivotField axis="axisRow"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2"/>
  </dataFields>
  <chartFormats count="1">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 name="[customer_revenue_db_sales_data].[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5AACA-19D6-4C4D-BA33-3BB8575D8493}" name="PivotTable12" cacheId="5" applyNumberFormats="0" applyBorderFormats="0" applyFontFormats="0" applyPatternFormats="0" applyAlignmentFormats="0" applyWidthHeightFormats="1" dataCaption="Values" tag="b2c26d19-ff7c-4e3d-89ff-933c22292c85" updatedVersion="8" minRefreshableVersion="3" useAutoFormatting="1" subtotalHiddenItems="1" itemPrintTitles="1" createdVersion="8" indent="0" compact="0" compactData="0" gridDropZones="1" multipleFieldFilters="0" chartFormat="12">
  <location ref="M3:N8" firstHeaderRow="2" firstDataRow="2"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320C33-4C43-4B80-99A3-51FC275548BC}" name="PivotTable5" cacheId="7" applyNumberFormats="0" applyBorderFormats="0" applyFontFormats="0" applyPatternFormats="0" applyAlignmentFormats="0" applyWidthHeightFormats="1" dataCaption="Values" tag="61fca5be-ce6d-4d60-9d53-08d78c5de937" updatedVersion="8" minRefreshableVersion="3" useAutoFormatting="1" subtotalHiddenItems="1" itemPrintTitles="1" createdVersion="8" indent="0" compact="0" compactData="0" gridDropZones="1" multipleFieldFilters="0" chartFormat="16">
  <location ref="J3:K8" firstHeaderRow="2" firstDataRow="2"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B58D9-EEFA-4DC5-BEFD-4C867EA156B7}" name="PivotTable4" cacheId="6" applyNumberFormats="0" applyBorderFormats="0" applyFontFormats="0" applyPatternFormats="0" applyAlignmentFormats="0" applyWidthHeightFormats="1" dataCaption="Values" tag="91d485cf-a713-4688-a0d4-dd9b98062cc7" updatedVersion="8" minRefreshableVersion="3" useAutoFormatting="1" subtotalHiddenItems="1" itemPrintTitles="1" createdVersion="8" indent="0" compact="0" compactData="0" gridDropZones="1" multipleFieldFilters="0" chartFormat="19">
  <location ref="G5:H12" firstHeaderRow="2" firstDataRow="2" firstDataCol="1" rowPageCount="1" colPageCount="1"/>
  <pivotFields count="4">
    <pivotField axis="axisRow" compact="0" allDrilled="1" outline="0"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v="3"/>
    </i>
    <i>
      <x v="2"/>
    </i>
    <i>
      <x/>
    </i>
    <i>
      <x v="1"/>
    </i>
    <i>
      <x v="4"/>
    </i>
    <i t="grand">
      <x/>
    </i>
  </rowItems>
  <colItems count="1">
    <i/>
  </colItems>
  <pageFields count="1">
    <pageField fld="2" hier="12" name="[customer_revenue_db_sales_data].[Revenue].[All]" cap="All"/>
  </pageFields>
  <dataFields count="1">
    <dataField name="Sum of Revenue" fld="1" baseField="0" baseItem="0"/>
  </dataFields>
  <chartFormats count="21">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6"/>
          </reference>
        </references>
      </pivotArea>
    </chartFormat>
    <chartFormat chart="4" format="9">
      <pivotArea type="data" outline="0" fieldPosition="0">
        <references count="2">
          <reference field="4294967294" count="1" selected="0">
            <x v="0"/>
          </reference>
          <reference field="0" count="1" selected="0">
            <x v="9"/>
          </reference>
        </references>
      </pivotArea>
    </chartFormat>
    <chartFormat chart="4" format="10">
      <pivotArea type="data" outline="0" fieldPosition="0">
        <references count="2">
          <reference field="4294967294" count="1" selected="0">
            <x v="0"/>
          </reference>
          <reference field="0" count="1" selected="0">
            <x v="16"/>
          </reference>
        </references>
      </pivotArea>
    </chartFormat>
    <chartFormat chart="4" format="11">
      <pivotArea type="data" outline="0" fieldPosition="0">
        <references count="2">
          <reference field="4294967294" count="1" selected="0">
            <x v="0"/>
          </reference>
          <reference field="0" count="1" selected="0">
            <x v="10"/>
          </reference>
        </references>
      </pivotArea>
    </chartFormat>
    <chartFormat chart="4" format="12">
      <pivotArea type="data" outline="0" fieldPosition="0">
        <references count="2">
          <reference field="4294967294" count="1" selected="0">
            <x v="0"/>
          </reference>
          <reference field="0" count="1" selected="0">
            <x v="13"/>
          </reference>
        </references>
      </pivotArea>
    </chartFormat>
    <chartFormat chart="4" format="13">
      <pivotArea type="data" outline="0" fieldPosition="0">
        <references count="2">
          <reference field="4294967294" count="1" selected="0">
            <x v="0"/>
          </reference>
          <reference field="0" count="1" selected="0">
            <x v="17"/>
          </reference>
        </references>
      </pivotArea>
    </chartFormat>
    <chartFormat chart="4" format="14">
      <pivotArea type="data" outline="0" fieldPosition="0">
        <references count="2">
          <reference field="4294967294" count="1" selected="0">
            <x v="0"/>
          </reference>
          <reference field="0" count="1" selected="0">
            <x v="7"/>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 chart="4" format="16">
      <pivotArea type="data" outline="0" fieldPosition="0">
        <references count="2">
          <reference field="4294967294" count="1" selected="0">
            <x v="0"/>
          </reference>
          <reference field="0" count="1" selected="0">
            <x v="8"/>
          </reference>
        </references>
      </pivotArea>
    </chartFormat>
    <chartFormat chart="4" format="17">
      <pivotArea type="data" outline="0" fieldPosition="0">
        <references count="2">
          <reference field="4294967294" count="1" selected="0">
            <x v="0"/>
          </reference>
          <reference field="0" count="1" selected="0">
            <x v="14"/>
          </reference>
        </references>
      </pivotArea>
    </chartFormat>
    <chartFormat chart="4" format="18">
      <pivotArea type="data" outline="0" fieldPosition="0">
        <references count="2">
          <reference field="4294967294" count="1" selected="0">
            <x v="0"/>
          </reference>
          <reference field="0" count="1" selected="0">
            <x v="11"/>
          </reference>
        </references>
      </pivotArea>
    </chartFormat>
    <chartFormat chart="4" format="19">
      <pivotArea type="data" outline="0" fieldPosition="0">
        <references count="2">
          <reference field="4294967294" count="1" selected="0">
            <x v="0"/>
          </reference>
          <reference field="0" count="1" selected="0">
            <x v="12"/>
          </reference>
        </references>
      </pivotArea>
    </chartFormat>
    <chartFormat chart="4" format="20">
      <pivotArea type="data" outline="0" fieldPosition="0">
        <references count="2">
          <reference field="4294967294" count="1" selected="0">
            <x v="0"/>
          </reference>
          <reference field="0" count="1" selected="0">
            <x v="18"/>
          </reference>
        </references>
      </pivotArea>
    </chartFormat>
    <chartFormat chart="4" format="21">
      <pivotArea type="data" outline="0" fieldPosition="0">
        <references count="2">
          <reference field="4294967294" count="1" selected="0">
            <x v="0"/>
          </reference>
          <reference field="0" count="1" selected="0">
            <x v="15"/>
          </reference>
        </references>
      </pivotArea>
    </chartFormat>
    <chartFormat chart="4" format="22">
      <pivotArea type="data" outline="0" fieldPosition="0">
        <references count="2">
          <reference field="4294967294" count="1" selected="0">
            <x v="0"/>
          </reference>
          <reference field="0" count="1" selected="0">
            <x v="19"/>
          </reference>
        </references>
      </pivotArea>
    </chartFormat>
  </chartFormat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1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794F3-E3AB-4DF5-852D-C87189C42D34}"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D3366F-CA6B-47C3-B23C-729431826F47}"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A08B4D-C6C8-4A00-89AF-342DB7BF4406}" name="PivotTable11" cacheId="2" applyNumberFormats="0" applyBorderFormats="0" applyFontFormats="0" applyPatternFormats="0" applyAlignmentFormats="0" applyWidthHeightFormats="1" dataCaption="Values" tag="0f077f98-ef83-4f6a-8727-903c939868f6" updatedVersion="8" minRefreshableVersion="3" useAutoFormatting="1" subtotalHiddenItems="1" itemPrintTitles="1" createdVersion="8" indent="0" outline="1" outlineData="1" multipleFieldFilters="0">
  <location ref="J3:K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Count of order_id" fld="1" subtotal="count" baseField="0" baseItem="0"/>
  </dataField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1ED034-5F0E-4C79-88F5-BF2C9FF4BB4B}" name="PivotTable10" cacheId="1" applyNumberFormats="0" applyBorderFormats="0" applyFontFormats="0" applyPatternFormats="0" applyAlignmentFormats="0" applyWidthHeightFormats="1" dataCaption="Values" tag="099af3d2-041a-4121-b678-2301fa8de8dd"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Revenue_Analysis_Dashboard.xlsx!customer_revenue_db_sales_data">
        <x15:activeTabTopLevelEntity name="[customer_revenue_db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C71930-9B13-48FC-8B8F-4254C452FCCD}"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customer_id" tableColumnId="3"/>
      <queryTableField id="4" name="customer_name" tableColumnId="4"/>
      <queryTableField id="5" name="segment" tableColumnId="5"/>
      <queryTableField id="6" name="region" tableColumnId="6"/>
      <queryTableField id="7" name="product_category" tableColumnId="7"/>
      <queryTableField id="8" name="sales" tableColumnId="8"/>
      <queryTableField id="9" name="quantity" tableColumnId="9"/>
      <queryTableField id="10" name="Year" tableColumnId="10"/>
      <queryTableField id="11" name="Month" tableColumnId="11"/>
      <queryTableField id="12" name="Month_No" tableColumnId="12"/>
      <queryTableField id="13" name="Reven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6C064D8-529F-4053-8DA3-5C6D94AC7A33}" sourceName="[customer_revenue_db_sales_data].[product_category]">
  <pivotTables>
    <pivotTable tabId="1" name="PivotTable1"/>
    <pivotTable tabId="3" name="PivotTable10"/>
    <pivotTable tabId="3" name="PivotTable11"/>
    <pivotTable tabId="3" name="PivotTable6"/>
    <pivotTable tabId="3" name="PivotTable7"/>
    <pivotTable tabId="1" name="PivotTable12"/>
    <pivotTable tabId="1" name="PivotTable2"/>
    <pivotTable tabId="1" name="PivotTable4"/>
    <pivotTable tabId="1" name="PivotTable5"/>
  </pivotTables>
  <data>
    <olap pivotCacheId="1219334620">
      <levels count="2">
        <level uniqueName="[customer_revenue_db_sales_data].[product_category].[(All)]" sourceCaption="(All)" count="0"/>
        <level uniqueName="[customer_revenue_db_sales_data].[product_category].[product_category]" sourceCaption="product_category" count="3">
          <ranges>
            <range startItem="0">
              <i n="[customer_revenue_db_sales_data].[product_category].&amp;[Electronics]" c="Electronics"/>
              <i n="[customer_revenue_db_sales_data].[product_category].&amp;[Furniture]" c="Furniture"/>
              <i n="[customer_revenue_db_sales_data].[product_category].&amp;[Office Supplies]" c="Office Supplies"/>
            </range>
          </ranges>
        </level>
      </levels>
      <selections count="1">
        <selection n="[customer_revenue_db_sales_data].[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E34E4F6-F86E-45A3-91A4-E262BBB4FEE0}" sourceName="[customer_revenue_db_sales_data].[segment]">
  <pivotTables>
    <pivotTable tabId="1" name="PivotTable12"/>
    <pivotTable tabId="3" name="PivotTable10"/>
    <pivotTable tabId="3" name="PivotTable11"/>
    <pivotTable tabId="3" name="PivotTable6"/>
    <pivotTable tabId="3" name="PivotTable7"/>
    <pivotTable tabId="1" name="PivotTable1"/>
    <pivotTable tabId="1" name="PivotTable2"/>
    <pivotTable tabId="1" name="PivotTable4"/>
    <pivotTable tabId="1" name="PivotTable5"/>
  </pivotTables>
  <data>
    <olap pivotCacheId="1219334620">
      <levels count="2">
        <level uniqueName="[customer_revenue_db_sales_data].[segment].[(All)]" sourceCaption="(All)" count="0"/>
        <level uniqueName="[customer_revenue_db_sales_data].[segment].[segment]" sourceCaption="segment" count="3">
          <ranges>
            <range startItem="0">
              <i n="[customer_revenue_db_sales_data].[segment].&amp;[Consumer]" c="Consumer"/>
              <i n="[customer_revenue_db_sales_data].[segment].&amp;[Corporate]" c="Corporate"/>
              <i n="[customer_revenue_db_sales_data].[segment].&amp;[Home Office]" c="Home Office"/>
            </range>
          </ranges>
        </level>
      </levels>
      <selections count="1">
        <selection n="[customer_revenue_db_sales_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EC893D-1813-40FB-96B9-523ED991C063}" sourceName="[customer_revenue_db_sales_data].[region]">
  <pivotTables>
    <pivotTable tabId="1" name="PivotTable1"/>
    <pivotTable tabId="3" name="PivotTable10"/>
    <pivotTable tabId="3" name="PivotTable11"/>
    <pivotTable tabId="3" name="PivotTable6"/>
    <pivotTable tabId="3" name="PivotTable7"/>
    <pivotTable tabId="1" name="PivotTable12"/>
    <pivotTable tabId="1" name="PivotTable2"/>
    <pivotTable tabId="1" name="PivotTable4"/>
    <pivotTable tabId="1" name="PivotTable5"/>
  </pivotTables>
  <data>
    <olap pivotCacheId="1219334620">
      <levels count="2">
        <level uniqueName="[customer_revenue_db_sales_data].[region].[(All)]" sourceCaption="(All)" count="0"/>
        <level uniqueName="[customer_revenue_db_sales_data].[region].[region]" sourceCaption="region" count="4">
          <ranges>
            <range startItem="0">
              <i n="[customer_revenue_db_sales_data].[region].&amp;[East]" c="East"/>
              <i n="[customer_revenue_db_sales_data].[region].&amp;[North]" c="North"/>
              <i n="[customer_revenue_db_sales_data].[region].&amp;[South]" c="South"/>
              <i n="[customer_revenue_db_sales_data].[region].&amp;[West]" c="West"/>
            </range>
          </ranges>
        </level>
      </levels>
      <selections count="1">
        <selection n="[customer_revenue_db_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94C2FA9-CAEB-40CF-A326-3F86ED9E2323}" cache="Slicer_product_category" caption="Product Category" level="1" rowHeight="640080"/>
  <slicer name="segment 1" xr10:uid="{3B838E11-C3C9-44CD-A85D-CB7648CF0B45}" cache="Slicer_segment" caption="Segment" level="1" rowHeight="640080"/>
  <slicer name="region 1" xr10:uid="{DF852646-3105-4E5D-9997-DECAB3B8627B}" cache="Slicer_region" caption="Reg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B0C918-BBC8-4B8A-9E3C-AF8FC8C4B1DF}" name="customer_revenue_db_sales_data" displayName="customer_revenue_db_sales_data" ref="A1:M801" tableType="queryTable" totalsRowShown="0">
  <autoFilter ref="A1:M801" xr:uid="{88B0C918-BBC8-4B8A-9E3C-AF8FC8C4B1DF}"/>
  <tableColumns count="13">
    <tableColumn id="1" xr3:uid="{87CE27EE-2997-4016-A2C3-CE76AFCE53F7}" uniqueName="1" name="order_id" queryTableFieldId="1" dataDxfId="8"/>
    <tableColumn id="2" xr3:uid="{6E43D9CA-41A2-4E01-B07C-50F3FCA9195A}" uniqueName="2" name="order_date" queryTableFieldId="2" dataDxfId="7"/>
    <tableColumn id="3" xr3:uid="{DEF0105F-ED09-4926-A7B1-D27981A7D9F5}" uniqueName="3" name="customer_id" queryTableFieldId="3" dataDxfId="6"/>
    <tableColumn id="4" xr3:uid="{B6B67ED8-6C9A-4E84-8A38-4E5E06C39C99}" uniqueName="4" name="customer_name" queryTableFieldId="4" dataDxfId="5"/>
    <tableColumn id="5" xr3:uid="{C3ABF187-BC3A-4815-B0E4-DEACC5C3A3DE}" uniqueName="5" name="segment" queryTableFieldId="5" dataDxfId="4"/>
    <tableColumn id="6" xr3:uid="{C11D8225-D93E-4AD4-9CF6-64FBCFF1DC31}" uniqueName="6" name="region" queryTableFieldId="6" dataDxfId="3"/>
    <tableColumn id="7" xr3:uid="{61A847C5-60EF-4DBE-8329-03A0F259EBE0}" uniqueName="7" name="product_category" queryTableFieldId="7" dataDxfId="2"/>
    <tableColumn id="8" xr3:uid="{A729ADBF-E8A5-4AC4-BEFF-A6E760A28F8A}" uniqueName="8" name="sales" queryTableFieldId="8"/>
    <tableColumn id="9" xr3:uid="{FB36A87C-8407-4CAE-8DA0-CDC229C2DF9F}" uniqueName="9" name="quantity" queryTableFieldId="9"/>
    <tableColumn id="10" xr3:uid="{26D730F3-D0AC-42DA-90F7-30968E9A7D23}" uniqueName="10" name="Year" queryTableFieldId="10"/>
    <tableColumn id="11" xr3:uid="{66DDE9A7-A755-4649-AE55-17F9D6BA5F1C}" uniqueName="11" name="Month" queryTableFieldId="11" dataDxfId="1"/>
    <tableColumn id="12" xr3:uid="{0AA65813-33F2-4F30-8FAB-CDFF1D893A1D}" uniqueName="12" name="Month_No" queryTableFieldId="12"/>
    <tableColumn id="13" xr3:uid="{9A7C6164-24B4-48E4-B73B-89AEAED80566}" uniqueName="13" name="Revenu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227D-B177-44D5-9B93-D671CCDB83F9}">
  <dimension ref="A1:M801"/>
  <sheetViews>
    <sheetView topLeftCell="A4" workbookViewId="0">
      <selection activeCell="P11" sqref="P11"/>
    </sheetView>
  </sheetViews>
  <sheetFormatPr defaultRowHeight="14.4" x14ac:dyDescent="0.3"/>
  <cols>
    <col min="1" max="1" width="10.109375" bestFit="1" customWidth="1"/>
    <col min="2" max="2" width="12.21875" bestFit="1" customWidth="1"/>
    <col min="3" max="3" width="13.5546875" bestFit="1" customWidth="1"/>
    <col min="4" max="4" width="16.6640625" bestFit="1" customWidth="1"/>
    <col min="5" max="5" width="11.109375" bestFit="1" customWidth="1"/>
    <col min="6" max="6" width="8.33203125" bestFit="1" customWidth="1"/>
    <col min="7" max="7" width="17.77734375" bestFit="1" customWidth="1"/>
    <col min="8" max="8" width="7.5546875" bestFit="1" customWidth="1"/>
    <col min="9" max="9" width="10.109375" bestFit="1" customWidth="1"/>
    <col min="10" max="10" width="6.88671875" bestFit="1" customWidth="1"/>
    <col min="11" max="11" width="9.77734375" bestFit="1" customWidth="1"/>
    <col min="12" max="12" width="11.44140625" bestFit="1" customWidth="1"/>
    <col min="13" max="13" width="10.21875" bestFit="1" customWidth="1"/>
  </cols>
  <sheetData>
    <row r="1" spans="1:13" x14ac:dyDescent="0.3">
      <c r="A1" t="s">
        <v>0</v>
      </c>
      <c r="B1" s="2" t="s">
        <v>1</v>
      </c>
      <c r="C1" t="s">
        <v>2</v>
      </c>
      <c r="D1" t="s">
        <v>3</v>
      </c>
      <c r="E1" t="s">
        <v>4</v>
      </c>
      <c r="F1" t="s">
        <v>5</v>
      </c>
      <c r="G1" t="s">
        <v>6</v>
      </c>
      <c r="H1" t="s">
        <v>7</v>
      </c>
      <c r="I1" t="s">
        <v>8</v>
      </c>
      <c r="J1" t="s">
        <v>859</v>
      </c>
      <c r="K1" t="s">
        <v>860</v>
      </c>
      <c r="L1" t="s">
        <v>861</v>
      </c>
      <c r="M1" t="s">
        <v>862</v>
      </c>
    </row>
    <row r="2" spans="1:13" x14ac:dyDescent="0.3">
      <c r="A2" s="1" t="s">
        <v>9</v>
      </c>
      <c r="B2" s="2">
        <v>45107</v>
      </c>
      <c r="C2" s="1" t="s">
        <v>10</v>
      </c>
      <c r="D2" s="1" t="s">
        <v>11</v>
      </c>
      <c r="E2" s="1" t="s">
        <v>12</v>
      </c>
      <c r="F2" s="1" t="s">
        <v>13</v>
      </c>
      <c r="G2" s="1" t="s">
        <v>14</v>
      </c>
      <c r="H2">
        <v>13923</v>
      </c>
      <c r="I2">
        <v>3</v>
      </c>
      <c r="J2">
        <v>2023</v>
      </c>
      <c r="K2" s="1" t="s">
        <v>863</v>
      </c>
      <c r="L2">
        <v>6</v>
      </c>
      <c r="M2" s="1">
        <v>41769</v>
      </c>
    </row>
    <row r="3" spans="1:13" x14ac:dyDescent="0.3">
      <c r="A3" s="1" t="s">
        <v>15</v>
      </c>
      <c r="B3" s="2">
        <v>45117</v>
      </c>
      <c r="C3" s="1" t="s">
        <v>16</v>
      </c>
      <c r="D3" s="1" t="s">
        <v>17</v>
      </c>
      <c r="E3" s="1" t="s">
        <v>12</v>
      </c>
      <c r="F3" s="1" t="s">
        <v>18</v>
      </c>
      <c r="G3" s="1" t="s">
        <v>14</v>
      </c>
      <c r="H3">
        <v>5320</v>
      </c>
      <c r="I3">
        <v>5</v>
      </c>
      <c r="J3">
        <v>2023</v>
      </c>
      <c r="K3" s="1" t="s">
        <v>864</v>
      </c>
      <c r="L3">
        <v>7</v>
      </c>
      <c r="M3" s="1">
        <v>26600</v>
      </c>
    </row>
    <row r="4" spans="1:13" x14ac:dyDescent="0.3">
      <c r="A4" s="1" t="s">
        <v>19</v>
      </c>
      <c r="B4" s="2">
        <v>45229</v>
      </c>
      <c r="C4" s="1" t="s">
        <v>20</v>
      </c>
      <c r="D4" s="1" t="s">
        <v>21</v>
      </c>
      <c r="E4" s="1" t="s">
        <v>12</v>
      </c>
      <c r="F4" s="1" t="s">
        <v>22</v>
      </c>
      <c r="G4" s="1" t="s">
        <v>23</v>
      </c>
      <c r="H4">
        <v>18076</v>
      </c>
      <c r="I4">
        <v>4</v>
      </c>
      <c r="J4">
        <v>2023</v>
      </c>
      <c r="K4" s="1" t="s">
        <v>865</v>
      </c>
      <c r="L4">
        <v>10</v>
      </c>
      <c r="M4" s="1">
        <v>72304</v>
      </c>
    </row>
    <row r="5" spans="1:13" x14ac:dyDescent="0.3">
      <c r="A5" s="1" t="s">
        <v>24</v>
      </c>
      <c r="B5" s="2">
        <v>45196</v>
      </c>
      <c r="C5" s="1" t="s">
        <v>20</v>
      </c>
      <c r="D5" s="1" t="s">
        <v>21</v>
      </c>
      <c r="E5" s="1" t="s">
        <v>12</v>
      </c>
      <c r="F5" s="1" t="s">
        <v>25</v>
      </c>
      <c r="G5" s="1" t="s">
        <v>23</v>
      </c>
      <c r="H5">
        <v>23260</v>
      </c>
      <c r="I5">
        <v>10</v>
      </c>
      <c r="J5">
        <v>2023</v>
      </c>
      <c r="K5" s="1" t="s">
        <v>866</v>
      </c>
      <c r="L5">
        <v>9</v>
      </c>
      <c r="M5" s="1">
        <v>232600</v>
      </c>
    </row>
    <row r="6" spans="1:13" x14ac:dyDescent="0.3">
      <c r="A6" s="1" t="s">
        <v>26</v>
      </c>
      <c r="B6" s="2">
        <v>45210</v>
      </c>
      <c r="C6" s="1" t="s">
        <v>27</v>
      </c>
      <c r="D6" s="1" t="s">
        <v>28</v>
      </c>
      <c r="E6" s="1" t="s">
        <v>29</v>
      </c>
      <c r="F6" s="1" t="s">
        <v>13</v>
      </c>
      <c r="G6" s="1" t="s">
        <v>14</v>
      </c>
      <c r="H6">
        <v>8340</v>
      </c>
      <c r="I6">
        <v>4</v>
      </c>
      <c r="J6">
        <v>2023</v>
      </c>
      <c r="K6" s="1" t="s">
        <v>865</v>
      </c>
      <c r="L6">
        <v>10</v>
      </c>
      <c r="M6" s="1">
        <v>33360</v>
      </c>
    </row>
    <row r="7" spans="1:13" x14ac:dyDescent="0.3">
      <c r="A7" s="1" t="s">
        <v>30</v>
      </c>
      <c r="B7" s="2">
        <v>45021</v>
      </c>
      <c r="C7" s="1" t="s">
        <v>31</v>
      </c>
      <c r="D7" s="1" t="s">
        <v>32</v>
      </c>
      <c r="E7" s="1" t="s">
        <v>29</v>
      </c>
      <c r="F7" s="1" t="s">
        <v>25</v>
      </c>
      <c r="G7" s="1" t="s">
        <v>23</v>
      </c>
      <c r="H7">
        <v>17562</v>
      </c>
      <c r="I7">
        <v>6</v>
      </c>
      <c r="J7">
        <v>2023</v>
      </c>
      <c r="K7" s="1" t="s">
        <v>867</v>
      </c>
      <c r="L7">
        <v>4</v>
      </c>
      <c r="M7" s="1">
        <v>105372</v>
      </c>
    </row>
    <row r="8" spans="1:13" x14ac:dyDescent="0.3">
      <c r="A8" s="1" t="s">
        <v>33</v>
      </c>
      <c r="B8" s="2">
        <v>45104</v>
      </c>
      <c r="C8" s="1" t="s">
        <v>34</v>
      </c>
      <c r="D8" s="1" t="s">
        <v>35</v>
      </c>
      <c r="E8" s="1" t="s">
        <v>36</v>
      </c>
      <c r="F8" s="1" t="s">
        <v>25</v>
      </c>
      <c r="G8" s="1" t="s">
        <v>23</v>
      </c>
      <c r="H8">
        <v>15968</v>
      </c>
      <c r="I8">
        <v>8</v>
      </c>
      <c r="J8">
        <v>2023</v>
      </c>
      <c r="K8" s="1" t="s">
        <v>863</v>
      </c>
      <c r="L8">
        <v>6</v>
      </c>
      <c r="M8" s="1">
        <v>127744</v>
      </c>
    </row>
    <row r="9" spans="1:13" x14ac:dyDescent="0.3">
      <c r="A9" s="1" t="s">
        <v>37</v>
      </c>
      <c r="B9" s="2">
        <v>44933</v>
      </c>
      <c r="C9" s="1" t="s">
        <v>38</v>
      </c>
      <c r="D9" s="1" t="s">
        <v>39</v>
      </c>
      <c r="E9" s="1" t="s">
        <v>36</v>
      </c>
      <c r="F9" s="1" t="s">
        <v>25</v>
      </c>
      <c r="G9" s="1" t="s">
        <v>40</v>
      </c>
      <c r="H9">
        <v>32464</v>
      </c>
      <c r="I9">
        <v>8</v>
      </c>
      <c r="J9">
        <v>2023</v>
      </c>
      <c r="K9" s="1" t="s">
        <v>868</v>
      </c>
      <c r="L9">
        <v>1</v>
      </c>
      <c r="M9" s="1">
        <v>259712</v>
      </c>
    </row>
    <row r="10" spans="1:13" x14ac:dyDescent="0.3">
      <c r="A10" s="1" t="s">
        <v>41</v>
      </c>
      <c r="B10" s="2">
        <v>45288</v>
      </c>
      <c r="C10" s="1" t="s">
        <v>27</v>
      </c>
      <c r="D10" s="1" t="s">
        <v>28</v>
      </c>
      <c r="E10" s="1" t="s">
        <v>36</v>
      </c>
      <c r="F10" s="1" t="s">
        <v>18</v>
      </c>
      <c r="G10" s="1" t="s">
        <v>14</v>
      </c>
      <c r="H10">
        <v>8166</v>
      </c>
      <c r="I10">
        <v>2</v>
      </c>
      <c r="J10">
        <v>2023</v>
      </c>
      <c r="K10" s="1" t="s">
        <v>869</v>
      </c>
      <c r="L10">
        <v>12</v>
      </c>
      <c r="M10" s="1">
        <v>16332</v>
      </c>
    </row>
    <row r="11" spans="1:13" x14ac:dyDescent="0.3">
      <c r="A11" s="1" t="s">
        <v>42</v>
      </c>
      <c r="B11" s="2">
        <v>45172</v>
      </c>
      <c r="C11" s="1" t="s">
        <v>43</v>
      </c>
      <c r="D11" s="1" t="s">
        <v>44</v>
      </c>
      <c r="E11" s="1" t="s">
        <v>12</v>
      </c>
      <c r="F11" s="1" t="s">
        <v>13</v>
      </c>
      <c r="G11" s="1" t="s">
        <v>14</v>
      </c>
      <c r="H11">
        <v>40810</v>
      </c>
      <c r="I11">
        <v>10</v>
      </c>
      <c r="J11">
        <v>2023</v>
      </c>
      <c r="K11" s="1" t="s">
        <v>866</v>
      </c>
      <c r="L11">
        <v>9</v>
      </c>
      <c r="M11" s="1">
        <v>408100</v>
      </c>
    </row>
    <row r="12" spans="1:13" x14ac:dyDescent="0.3">
      <c r="A12" s="1" t="s">
        <v>45</v>
      </c>
      <c r="B12" s="2">
        <v>45026</v>
      </c>
      <c r="C12" s="1" t="s">
        <v>27</v>
      </c>
      <c r="D12" s="1" t="s">
        <v>28</v>
      </c>
      <c r="E12" s="1" t="s">
        <v>36</v>
      </c>
      <c r="F12" s="1" t="s">
        <v>25</v>
      </c>
      <c r="G12" s="1" t="s">
        <v>14</v>
      </c>
      <c r="H12">
        <v>6454</v>
      </c>
      <c r="I12">
        <v>2</v>
      </c>
      <c r="J12">
        <v>2023</v>
      </c>
      <c r="K12" s="1" t="s">
        <v>867</v>
      </c>
      <c r="L12">
        <v>4</v>
      </c>
      <c r="M12" s="1">
        <v>12908</v>
      </c>
    </row>
    <row r="13" spans="1:13" x14ac:dyDescent="0.3">
      <c r="A13" s="1" t="s">
        <v>46</v>
      </c>
      <c r="B13" s="2">
        <v>45009</v>
      </c>
      <c r="C13" s="1" t="s">
        <v>47</v>
      </c>
      <c r="D13" s="1" t="s">
        <v>48</v>
      </c>
      <c r="E13" s="1" t="s">
        <v>12</v>
      </c>
      <c r="F13" s="1" t="s">
        <v>22</v>
      </c>
      <c r="G13" s="1" t="s">
        <v>14</v>
      </c>
      <c r="H13">
        <v>16176</v>
      </c>
      <c r="I13">
        <v>6</v>
      </c>
      <c r="J13">
        <v>2023</v>
      </c>
      <c r="K13" s="1" t="s">
        <v>870</v>
      </c>
      <c r="L13">
        <v>3</v>
      </c>
      <c r="M13" s="1">
        <v>97056</v>
      </c>
    </row>
    <row r="14" spans="1:13" x14ac:dyDescent="0.3">
      <c r="A14" s="1" t="s">
        <v>49</v>
      </c>
      <c r="B14" s="2">
        <v>44988</v>
      </c>
      <c r="C14" s="1" t="s">
        <v>50</v>
      </c>
      <c r="D14" s="1" t="s">
        <v>51</v>
      </c>
      <c r="E14" s="1" t="s">
        <v>12</v>
      </c>
      <c r="F14" s="1" t="s">
        <v>25</v>
      </c>
      <c r="G14" s="1" t="s">
        <v>14</v>
      </c>
      <c r="H14">
        <v>5514</v>
      </c>
      <c r="I14">
        <v>6</v>
      </c>
      <c r="J14">
        <v>2023</v>
      </c>
      <c r="K14" s="1" t="s">
        <v>870</v>
      </c>
      <c r="L14">
        <v>3</v>
      </c>
      <c r="M14" s="1">
        <v>33084</v>
      </c>
    </row>
    <row r="15" spans="1:13" x14ac:dyDescent="0.3">
      <c r="A15" s="1" t="s">
        <v>52</v>
      </c>
      <c r="B15" s="2">
        <v>44960</v>
      </c>
      <c r="C15" s="1" t="s">
        <v>53</v>
      </c>
      <c r="D15" s="1" t="s">
        <v>54</v>
      </c>
      <c r="E15" s="1" t="s">
        <v>29</v>
      </c>
      <c r="F15" s="1" t="s">
        <v>25</v>
      </c>
      <c r="G15" s="1" t="s">
        <v>23</v>
      </c>
      <c r="H15">
        <v>32809</v>
      </c>
      <c r="I15">
        <v>7</v>
      </c>
      <c r="J15">
        <v>2023</v>
      </c>
      <c r="K15" s="1" t="s">
        <v>871</v>
      </c>
      <c r="L15">
        <v>2</v>
      </c>
      <c r="M15" s="1">
        <v>229663</v>
      </c>
    </row>
    <row r="16" spans="1:13" x14ac:dyDescent="0.3">
      <c r="A16" s="1" t="s">
        <v>55</v>
      </c>
      <c r="B16" s="2">
        <v>45073</v>
      </c>
      <c r="C16" s="1" t="s">
        <v>38</v>
      </c>
      <c r="D16" s="1" t="s">
        <v>39</v>
      </c>
      <c r="E16" s="1" t="s">
        <v>36</v>
      </c>
      <c r="F16" s="1" t="s">
        <v>22</v>
      </c>
      <c r="G16" s="1" t="s">
        <v>14</v>
      </c>
      <c r="H16">
        <v>9736</v>
      </c>
      <c r="I16">
        <v>2</v>
      </c>
      <c r="J16">
        <v>2023</v>
      </c>
      <c r="K16" s="1" t="s">
        <v>872</v>
      </c>
      <c r="L16">
        <v>5</v>
      </c>
      <c r="M16" s="1">
        <v>19472</v>
      </c>
    </row>
    <row r="17" spans="1:13" x14ac:dyDescent="0.3">
      <c r="A17" s="1" t="s">
        <v>56</v>
      </c>
      <c r="B17" s="2">
        <v>44934</v>
      </c>
      <c r="C17" s="1" t="s">
        <v>34</v>
      </c>
      <c r="D17" s="1" t="s">
        <v>35</v>
      </c>
      <c r="E17" s="1" t="s">
        <v>12</v>
      </c>
      <c r="F17" s="1" t="s">
        <v>25</v>
      </c>
      <c r="G17" s="1" t="s">
        <v>23</v>
      </c>
      <c r="H17">
        <v>2895</v>
      </c>
      <c r="I17">
        <v>1</v>
      </c>
      <c r="J17">
        <v>2023</v>
      </c>
      <c r="K17" s="1" t="s">
        <v>868</v>
      </c>
      <c r="L17">
        <v>1</v>
      </c>
      <c r="M17" s="1">
        <v>2895</v>
      </c>
    </row>
    <row r="18" spans="1:13" x14ac:dyDescent="0.3">
      <c r="A18" s="1" t="s">
        <v>57</v>
      </c>
      <c r="B18" s="2">
        <v>45230</v>
      </c>
      <c r="C18" s="1" t="s">
        <v>47</v>
      </c>
      <c r="D18" s="1" t="s">
        <v>48</v>
      </c>
      <c r="E18" s="1" t="s">
        <v>12</v>
      </c>
      <c r="F18" s="1" t="s">
        <v>13</v>
      </c>
      <c r="G18" s="1" t="s">
        <v>14</v>
      </c>
      <c r="H18">
        <v>15498</v>
      </c>
      <c r="I18">
        <v>6</v>
      </c>
      <c r="J18">
        <v>2023</v>
      </c>
      <c r="K18" s="1" t="s">
        <v>865</v>
      </c>
      <c r="L18">
        <v>10</v>
      </c>
      <c r="M18" s="1">
        <v>92988</v>
      </c>
    </row>
    <row r="19" spans="1:13" x14ac:dyDescent="0.3">
      <c r="A19" s="1" t="s">
        <v>58</v>
      </c>
      <c r="B19" s="2">
        <v>44930</v>
      </c>
      <c r="C19" s="1" t="s">
        <v>53</v>
      </c>
      <c r="D19" s="1" t="s">
        <v>54</v>
      </c>
      <c r="E19" s="1" t="s">
        <v>36</v>
      </c>
      <c r="F19" s="1" t="s">
        <v>25</v>
      </c>
      <c r="G19" s="1" t="s">
        <v>40</v>
      </c>
      <c r="H19">
        <v>9440</v>
      </c>
      <c r="I19">
        <v>5</v>
      </c>
      <c r="J19">
        <v>2023</v>
      </c>
      <c r="K19" s="1" t="s">
        <v>868</v>
      </c>
      <c r="L19">
        <v>1</v>
      </c>
      <c r="M19" s="1">
        <v>47200</v>
      </c>
    </row>
    <row r="20" spans="1:13" x14ac:dyDescent="0.3">
      <c r="A20" s="1" t="s">
        <v>59</v>
      </c>
      <c r="B20" s="2">
        <v>44960</v>
      </c>
      <c r="C20" s="1" t="s">
        <v>20</v>
      </c>
      <c r="D20" s="1" t="s">
        <v>21</v>
      </c>
      <c r="E20" s="1" t="s">
        <v>12</v>
      </c>
      <c r="F20" s="1" t="s">
        <v>18</v>
      </c>
      <c r="G20" s="1" t="s">
        <v>23</v>
      </c>
      <c r="H20">
        <v>5084</v>
      </c>
      <c r="I20">
        <v>4</v>
      </c>
      <c r="J20">
        <v>2023</v>
      </c>
      <c r="K20" s="1" t="s">
        <v>871</v>
      </c>
      <c r="L20">
        <v>2</v>
      </c>
      <c r="M20" s="1">
        <v>20336</v>
      </c>
    </row>
    <row r="21" spans="1:13" x14ac:dyDescent="0.3">
      <c r="A21" s="1" t="s">
        <v>60</v>
      </c>
      <c r="B21" s="2">
        <v>45055</v>
      </c>
      <c r="C21" s="1" t="s">
        <v>61</v>
      </c>
      <c r="D21" s="1" t="s">
        <v>62</v>
      </c>
      <c r="E21" s="1" t="s">
        <v>29</v>
      </c>
      <c r="F21" s="1" t="s">
        <v>18</v>
      </c>
      <c r="G21" s="1" t="s">
        <v>40</v>
      </c>
      <c r="H21">
        <v>34880</v>
      </c>
      <c r="I21">
        <v>10</v>
      </c>
      <c r="J21">
        <v>2023</v>
      </c>
      <c r="K21" s="1" t="s">
        <v>872</v>
      </c>
      <c r="L21">
        <v>5</v>
      </c>
      <c r="M21" s="1">
        <v>348800</v>
      </c>
    </row>
    <row r="22" spans="1:13" x14ac:dyDescent="0.3">
      <c r="A22" s="1" t="s">
        <v>63</v>
      </c>
      <c r="B22" s="2">
        <v>45022</v>
      </c>
      <c r="C22" s="1" t="s">
        <v>64</v>
      </c>
      <c r="D22" s="1" t="s">
        <v>65</v>
      </c>
      <c r="E22" s="1" t="s">
        <v>12</v>
      </c>
      <c r="F22" s="1" t="s">
        <v>22</v>
      </c>
      <c r="G22" s="1" t="s">
        <v>23</v>
      </c>
      <c r="H22">
        <v>38390</v>
      </c>
      <c r="I22">
        <v>10</v>
      </c>
      <c r="J22">
        <v>2023</v>
      </c>
      <c r="K22" s="1" t="s">
        <v>867</v>
      </c>
      <c r="L22">
        <v>4</v>
      </c>
      <c r="M22" s="1">
        <v>383900</v>
      </c>
    </row>
    <row r="23" spans="1:13" x14ac:dyDescent="0.3">
      <c r="A23" s="1" t="s">
        <v>66</v>
      </c>
      <c r="B23" s="2">
        <v>45212</v>
      </c>
      <c r="C23" s="1" t="s">
        <v>67</v>
      </c>
      <c r="D23" s="1" t="s">
        <v>68</v>
      </c>
      <c r="E23" s="1" t="s">
        <v>29</v>
      </c>
      <c r="F23" s="1" t="s">
        <v>13</v>
      </c>
      <c r="G23" s="1" t="s">
        <v>14</v>
      </c>
      <c r="H23">
        <v>48790</v>
      </c>
      <c r="I23">
        <v>10</v>
      </c>
      <c r="J23">
        <v>2023</v>
      </c>
      <c r="K23" s="1" t="s">
        <v>865</v>
      </c>
      <c r="L23">
        <v>10</v>
      </c>
      <c r="M23" s="1">
        <v>487900</v>
      </c>
    </row>
    <row r="24" spans="1:13" x14ac:dyDescent="0.3">
      <c r="A24" s="1" t="s">
        <v>69</v>
      </c>
      <c r="B24" s="2">
        <v>45063</v>
      </c>
      <c r="C24" s="1" t="s">
        <v>34</v>
      </c>
      <c r="D24" s="1" t="s">
        <v>35</v>
      </c>
      <c r="E24" s="1" t="s">
        <v>36</v>
      </c>
      <c r="F24" s="1" t="s">
        <v>25</v>
      </c>
      <c r="G24" s="1" t="s">
        <v>40</v>
      </c>
      <c r="H24">
        <v>15736</v>
      </c>
      <c r="I24">
        <v>4</v>
      </c>
      <c r="J24">
        <v>2023</v>
      </c>
      <c r="K24" s="1" t="s">
        <v>872</v>
      </c>
      <c r="L24">
        <v>5</v>
      </c>
      <c r="M24" s="1">
        <v>62944</v>
      </c>
    </row>
    <row r="25" spans="1:13" x14ac:dyDescent="0.3">
      <c r="A25" s="1" t="s">
        <v>70</v>
      </c>
      <c r="B25" s="2">
        <v>45185</v>
      </c>
      <c r="C25" s="1" t="s">
        <v>20</v>
      </c>
      <c r="D25" s="1" t="s">
        <v>21</v>
      </c>
      <c r="E25" s="1" t="s">
        <v>36</v>
      </c>
      <c r="F25" s="1" t="s">
        <v>13</v>
      </c>
      <c r="G25" s="1" t="s">
        <v>40</v>
      </c>
      <c r="H25">
        <v>32888</v>
      </c>
      <c r="I25">
        <v>8</v>
      </c>
      <c r="J25">
        <v>2023</v>
      </c>
      <c r="K25" s="1" t="s">
        <v>866</v>
      </c>
      <c r="L25">
        <v>9</v>
      </c>
      <c r="M25" s="1">
        <v>263104</v>
      </c>
    </row>
    <row r="26" spans="1:13" x14ac:dyDescent="0.3">
      <c r="A26" s="1" t="s">
        <v>71</v>
      </c>
      <c r="B26" s="2">
        <v>45194</v>
      </c>
      <c r="C26" s="1" t="s">
        <v>67</v>
      </c>
      <c r="D26" s="1" t="s">
        <v>68</v>
      </c>
      <c r="E26" s="1" t="s">
        <v>29</v>
      </c>
      <c r="F26" s="1" t="s">
        <v>25</v>
      </c>
      <c r="G26" s="1" t="s">
        <v>23</v>
      </c>
      <c r="H26">
        <v>25200</v>
      </c>
      <c r="I26">
        <v>10</v>
      </c>
      <c r="J26">
        <v>2023</v>
      </c>
      <c r="K26" s="1" t="s">
        <v>866</v>
      </c>
      <c r="L26">
        <v>9</v>
      </c>
      <c r="M26" s="1">
        <v>252000</v>
      </c>
    </row>
    <row r="27" spans="1:13" x14ac:dyDescent="0.3">
      <c r="A27" s="1" t="s">
        <v>72</v>
      </c>
      <c r="B27" s="2">
        <v>45071</v>
      </c>
      <c r="C27" s="1" t="s">
        <v>73</v>
      </c>
      <c r="D27" s="1" t="s">
        <v>74</v>
      </c>
      <c r="E27" s="1" t="s">
        <v>36</v>
      </c>
      <c r="F27" s="1" t="s">
        <v>13</v>
      </c>
      <c r="G27" s="1" t="s">
        <v>14</v>
      </c>
      <c r="H27">
        <v>3655</v>
      </c>
      <c r="I27">
        <v>1</v>
      </c>
      <c r="J27">
        <v>2023</v>
      </c>
      <c r="K27" s="1" t="s">
        <v>872</v>
      </c>
      <c r="L27">
        <v>5</v>
      </c>
      <c r="M27" s="1">
        <v>3655</v>
      </c>
    </row>
    <row r="28" spans="1:13" x14ac:dyDescent="0.3">
      <c r="A28" s="1" t="s">
        <v>75</v>
      </c>
      <c r="B28" s="2">
        <v>45291</v>
      </c>
      <c r="C28" s="1" t="s">
        <v>73</v>
      </c>
      <c r="D28" s="1" t="s">
        <v>74</v>
      </c>
      <c r="E28" s="1" t="s">
        <v>12</v>
      </c>
      <c r="F28" s="1" t="s">
        <v>13</v>
      </c>
      <c r="G28" s="1" t="s">
        <v>14</v>
      </c>
      <c r="H28">
        <v>3208</v>
      </c>
      <c r="I28">
        <v>2</v>
      </c>
      <c r="J28">
        <v>2023</v>
      </c>
      <c r="K28" s="1" t="s">
        <v>869</v>
      </c>
      <c r="L28">
        <v>12</v>
      </c>
      <c r="M28" s="1">
        <v>6416</v>
      </c>
    </row>
    <row r="29" spans="1:13" x14ac:dyDescent="0.3">
      <c r="A29" s="1" t="s">
        <v>76</v>
      </c>
      <c r="B29" s="2">
        <v>45280</v>
      </c>
      <c r="C29" s="1" t="s">
        <v>77</v>
      </c>
      <c r="D29" s="1" t="s">
        <v>78</v>
      </c>
      <c r="E29" s="1" t="s">
        <v>29</v>
      </c>
      <c r="F29" s="1" t="s">
        <v>13</v>
      </c>
      <c r="G29" s="1" t="s">
        <v>40</v>
      </c>
      <c r="H29">
        <v>6192</v>
      </c>
      <c r="I29">
        <v>4</v>
      </c>
      <c r="J29">
        <v>2023</v>
      </c>
      <c r="K29" s="1" t="s">
        <v>869</v>
      </c>
      <c r="L29">
        <v>12</v>
      </c>
      <c r="M29" s="1">
        <v>24768</v>
      </c>
    </row>
    <row r="30" spans="1:13" x14ac:dyDescent="0.3">
      <c r="A30" s="1" t="s">
        <v>79</v>
      </c>
      <c r="B30" s="2">
        <v>45182</v>
      </c>
      <c r="C30" s="1" t="s">
        <v>64</v>
      </c>
      <c r="D30" s="1" t="s">
        <v>65</v>
      </c>
      <c r="E30" s="1" t="s">
        <v>36</v>
      </c>
      <c r="F30" s="1" t="s">
        <v>22</v>
      </c>
      <c r="G30" s="1" t="s">
        <v>14</v>
      </c>
      <c r="H30">
        <v>19528</v>
      </c>
      <c r="I30">
        <v>8</v>
      </c>
      <c r="J30">
        <v>2023</v>
      </c>
      <c r="K30" s="1" t="s">
        <v>866</v>
      </c>
      <c r="L30">
        <v>9</v>
      </c>
      <c r="M30" s="1">
        <v>156224</v>
      </c>
    </row>
    <row r="31" spans="1:13" x14ac:dyDescent="0.3">
      <c r="A31" s="1" t="s">
        <v>80</v>
      </c>
      <c r="B31" s="2">
        <v>45036</v>
      </c>
      <c r="C31" s="1" t="s">
        <v>20</v>
      </c>
      <c r="D31" s="1" t="s">
        <v>21</v>
      </c>
      <c r="E31" s="1" t="s">
        <v>36</v>
      </c>
      <c r="F31" s="1" t="s">
        <v>18</v>
      </c>
      <c r="G31" s="1" t="s">
        <v>14</v>
      </c>
      <c r="H31">
        <v>32137</v>
      </c>
      <c r="I31">
        <v>7</v>
      </c>
      <c r="J31">
        <v>2023</v>
      </c>
      <c r="K31" s="1" t="s">
        <v>867</v>
      </c>
      <c r="L31">
        <v>4</v>
      </c>
      <c r="M31" s="1">
        <v>224959</v>
      </c>
    </row>
    <row r="32" spans="1:13" x14ac:dyDescent="0.3">
      <c r="A32" s="1" t="s">
        <v>81</v>
      </c>
      <c r="B32" s="2">
        <v>45263</v>
      </c>
      <c r="C32" s="1" t="s">
        <v>16</v>
      </c>
      <c r="D32" s="1" t="s">
        <v>17</v>
      </c>
      <c r="E32" s="1" t="s">
        <v>36</v>
      </c>
      <c r="F32" s="1" t="s">
        <v>18</v>
      </c>
      <c r="G32" s="1" t="s">
        <v>23</v>
      </c>
      <c r="H32">
        <v>19795</v>
      </c>
      <c r="I32">
        <v>5</v>
      </c>
      <c r="J32">
        <v>2023</v>
      </c>
      <c r="K32" s="1" t="s">
        <v>869</v>
      </c>
      <c r="L32">
        <v>12</v>
      </c>
      <c r="M32" s="1">
        <v>98975</v>
      </c>
    </row>
    <row r="33" spans="1:13" x14ac:dyDescent="0.3">
      <c r="A33" s="1" t="s">
        <v>82</v>
      </c>
      <c r="B33" s="2">
        <v>45049</v>
      </c>
      <c r="C33" s="1" t="s">
        <v>27</v>
      </c>
      <c r="D33" s="1" t="s">
        <v>28</v>
      </c>
      <c r="E33" s="1" t="s">
        <v>29</v>
      </c>
      <c r="F33" s="1" t="s">
        <v>25</v>
      </c>
      <c r="G33" s="1" t="s">
        <v>14</v>
      </c>
      <c r="H33">
        <v>8829</v>
      </c>
      <c r="I33">
        <v>3</v>
      </c>
      <c r="J33">
        <v>2023</v>
      </c>
      <c r="K33" s="1" t="s">
        <v>872</v>
      </c>
      <c r="L33">
        <v>5</v>
      </c>
      <c r="M33" s="1">
        <v>26487</v>
      </c>
    </row>
    <row r="34" spans="1:13" x14ac:dyDescent="0.3">
      <c r="A34" s="1" t="s">
        <v>83</v>
      </c>
      <c r="B34" s="2">
        <v>45056</v>
      </c>
      <c r="C34" s="1" t="s">
        <v>43</v>
      </c>
      <c r="D34" s="1" t="s">
        <v>44</v>
      </c>
      <c r="E34" s="1" t="s">
        <v>36</v>
      </c>
      <c r="F34" s="1" t="s">
        <v>25</v>
      </c>
      <c r="G34" s="1" t="s">
        <v>14</v>
      </c>
      <c r="H34">
        <v>18624</v>
      </c>
      <c r="I34">
        <v>8</v>
      </c>
      <c r="J34">
        <v>2023</v>
      </c>
      <c r="K34" s="1" t="s">
        <v>872</v>
      </c>
      <c r="L34">
        <v>5</v>
      </c>
      <c r="M34" s="1">
        <v>148992</v>
      </c>
    </row>
    <row r="35" spans="1:13" x14ac:dyDescent="0.3">
      <c r="A35" s="1" t="s">
        <v>84</v>
      </c>
      <c r="B35" s="2">
        <v>44993</v>
      </c>
      <c r="C35" s="1" t="s">
        <v>47</v>
      </c>
      <c r="D35" s="1" t="s">
        <v>48</v>
      </c>
      <c r="E35" s="1" t="s">
        <v>29</v>
      </c>
      <c r="F35" s="1" t="s">
        <v>13</v>
      </c>
      <c r="G35" s="1" t="s">
        <v>14</v>
      </c>
      <c r="H35">
        <v>34296</v>
      </c>
      <c r="I35">
        <v>8</v>
      </c>
      <c r="J35">
        <v>2023</v>
      </c>
      <c r="K35" s="1" t="s">
        <v>870</v>
      </c>
      <c r="L35">
        <v>3</v>
      </c>
      <c r="M35" s="1">
        <v>274368</v>
      </c>
    </row>
    <row r="36" spans="1:13" x14ac:dyDescent="0.3">
      <c r="A36" s="1" t="s">
        <v>85</v>
      </c>
      <c r="B36" s="2">
        <v>44979</v>
      </c>
      <c r="C36" s="1" t="s">
        <v>43</v>
      </c>
      <c r="D36" s="1" t="s">
        <v>44</v>
      </c>
      <c r="E36" s="1" t="s">
        <v>12</v>
      </c>
      <c r="F36" s="1" t="s">
        <v>18</v>
      </c>
      <c r="G36" s="1" t="s">
        <v>14</v>
      </c>
      <c r="H36">
        <v>33362</v>
      </c>
      <c r="I36">
        <v>7</v>
      </c>
      <c r="J36">
        <v>2023</v>
      </c>
      <c r="K36" s="1" t="s">
        <v>871</v>
      </c>
      <c r="L36">
        <v>2</v>
      </c>
      <c r="M36" s="1">
        <v>233534</v>
      </c>
    </row>
    <row r="37" spans="1:13" x14ac:dyDescent="0.3">
      <c r="A37" s="1" t="s">
        <v>86</v>
      </c>
      <c r="B37" s="2">
        <v>45248</v>
      </c>
      <c r="C37" s="1" t="s">
        <v>31</v>
      </c>
      <c r="D37" s="1" t="s">
        <v>32</v>
      </c>
      <c r="E37" s="1" t="s">
        <v>29</v>
      </c>
      <c r="F37" s="1" t="s">
        <v>18</v>
      </c>
      <c r="G37" s="1" t="s">
        <v>14</v>
      </c>
      <c r="H37">
        <v>9105</v>
      </c>
      <c r="I37">
        <v>3</v>
      </c>
      <c r="J37">
        <v>2023</v>
      </c>
      <c r="K37" s="1" t="s">
        <v>873</v>
      </c>
      <c r="L37">
        <v>11</v>
      </c>
      <c r="M37" s="1">
        <v>27315</v>
      </c>
    </row>
    <row r="38" spans="1:13" x14ac:dyDescent="0.3">
      <c r="A38" s="1" t="s">
        <v>87</v>
      </c>
      <c r="B38" s="2">
        <v>45039</v>
      </c>
      <c r="C38" s="1" t="s">
        <v>31</v>
      </c>
      <c r="D38" s="1" t="s">
        <v>32</v>
      </c>
      <c r="E38" s="1" t="s">
        <v>29</v>
      </c>
      <c r="F38" s="1" t="s">
        <v>18</v>
      </c>
      <c r="G38" s="1" t="s">
        <v>14</v>
      </c>
      <c r="H38">
        <v>34300</v>
      </c>
      <c r="I38">
        <v>7</v>
      </c>
      <c r="J38">
        <v>2023</v>
      </c>
      <c r="K38" s="1" t="s">
        <v>867</v>
      </c>
      <c r="L38">
        <v>4</v>
      </c>
      <c r="M38" s="1">
        <v>240100</v>
      </c>
    </row>
    <row r="39" spans="1:13" x14ac:dyDescent="0.3">
      <c r="A39" s="1" t="s">
        <v>88</v>
      </c>
      <c r="B39" s="2">
        <v>44974</v>
      </c>
      <c r="C39" s="1" t="s">
        <v>89</v>
      </c>
      <c r="D39" s="1" t="s">
        <v>90</v>
      </c>
      <c r="E39" s="1" t="s">
        <v>36</v>
      </c>
      <c r="F39" s="1" t="s">
        <v>22</v>
      </c>
      <c r="G39" s="1" t="s">
        <v>23</v>
      </c>
      <c r="H39">
        <v>4974</v>
      </c>
      <c r="I39">
        <v>1</v>
      </c>
      <c r="J39">
        <v>2023</v>
      </c>
      <c r="K39" s="1" t="s">
        <v>871</v>
      </c>
      <c r="L39">
        <v>2</v>
      </c>
      <c r="M39" s="1">
        <v>4974</v>
      </c>
    </row>
    <row r="40" spans="1:13" x14ac:dyDescent="0.3">
      <c r="A40" s="1" t="s">
        <v>91</v>
      </c>
      <c r="B40" s="2">
        <v>45095</v>
      </c>
      <c r="C40" s="1" t="s">
        <v>47</v>
      </c>
      <c r="D40" s="1" t="s">
        <v>48</v>
      </c>
      <c r="E40" s="1" t="s">
        <v>12</v>
      </c>
      <c r="F40" s="1" t="s">
        <v>22</v>
      </c>
      <c r="G40" s="1" t="s">
        <v>14</v>
      </c>
      <c r="H40">
        <v>13480</v>
      </c>
      <c r="I40">
        <v>8</v>
      </c>
      <c r="J40">
        <v>2023</v>
      </c>
      <c r="K40" s="1" t="s">
        <v>863</v>
      </c>
      <c r="L40">
        <v>6</v>
      </c>
      <c r="M40" s="1">
        <v>107840</v>
      </c>
    </row>
    <row r="41" spans="1:13" x14ac:dyDescent="0.3">
      <c r="A41" s="1" t="s">
        <v>92</v>
      </c>
      <c r="B41" s="2">
        <v>45079</v>
      </c>
      <c r="C41" s="1" t="s">
        <v>43</v>
      </c>
      <c r="D41" s="1" t="s">
        <v>44</v>
      </c>
      <c r="E41" s="1" t="s">
        <v>36</v>
      </c>
      <c r="F41" s="1" t="s">
        <v>13</v>
      </c>
      <c r="G41" s="1" t="s">
        <v>23</v>
      </c>
      <c r="H41">
        <v>24136</v>
      </c>
      <c r="I41">
        <v>7</v>
      </c>
      <c r="J41">
        <v>2023</v>
      </c>
      <c r="K41" s="1" t="s">
        <v>863</v>
      </c>
      <c r="L41">
        <v>6</v>
      </c>
      <c r="M41" s="1">
        <v>168952</v>
      </c>
    </row>
    <row r="42" spans="1:13" x14ac:dyDescent="0.3">
      <c r="A42" s="1" t="s">
        <v>93</v>
      </c>
      <c r="B42" s="2">
        <v>44978</v>
      </c>
      <c r="C42" s="1" t="s">
        <v>73</v>
      </c>
      <c r="D42" s="1" t="s">
        <v>74</v>
      </c>
      <c r="E42" s="1" t="s">
        <v>12</v>
      </c>
      <c r="F42" s="1" t="s">
        <v>25</v>
      </c>
      <c r="G42" s="1" t="s">
        <v>23</v>
      </c>
      <c r="H42">
        <v>18352</v>
      </c>
      <c r="I42">
        <v>8</v>
      </c>
      <c r="J42">
        <v>2023</v>
      </c>
      <c r="K42" s="1" t="s">
        <v>871</v>
      </c>
      <c r="L42">
        <v>2</v>
      </c>
      <c r="M42" s="1">
        <v>146816</v>
      </c>
    </row>
    <row r="43" spans="1:13" x14ac:dyDescent="0.3">
      <c r="A43" s="1" t="s">
        <v>94</v>
      </c>
      <c r="B43" s="2">
        <v>44997</v>
      </c>
      <c r="C43" s="1" t="s">
        <v>47</v>
      </c>
      <c r="D43" s="1" t="s">
        <v>48</v>
      </c>
      <c r="E43" s="1" t="s">
        <v>12</v>
      </c>
      <c r="F43" s="1" t="s">
        <v>13</v>
      </c>
      <c r="G43" s="1" t="s">
        <v>23</v>
      </c>
      <c r="H43">
        <v>20040</v>
      </c>
      <c r="I43">
        <v>8</v>
      </c>
      <c r="J43">
        <v>2023</v>
      </c>
      <c r="K43" s="1" t="s">
        <v>870</v>
      </c>
      <c r="L43">
        <v>3</v>
      </c>
      <c r="M43" s="1">
        <v>160320</v>
      </c>
    </row>
    <row r="44" spans="1:13" x14ac:dyDescent="0.3">
      <c r="A44" s="1" t="s">
        <v>95</v>
      </c>
      <c r="B44" s="2">
        <v>45038</v>
      </c>
      <c r="C44" s="1" t="s">
        <v>10</v>
      </c>
      <c r="D44" s="1" t="s">
        <v>11</v>
      </c>
      <c r="E44" s="1" t="s">
        <v>36</v>
      </c>
      <c r="F44" s="1" t="s">
        <v>22</v>
      </c>
      <c r="G44" s="1" t="s">
        <v>40</v>
      </c>
      <c r="H44">
        <v>17076</v>
      </c>
      <c r="I44">
        <v>6</v>
      </c>
      <c r="J44">
        <v>2023</v>
      </c>
      <c r="K44" s="1" t="s">
        <v>867</v>
      </c>
      <c r="L44">
        <v>4</v>
      </c>
      <c r="M44" s="1">
        <v>102456</v>
      </c>
    </row>
    <row r="45" spans="1:13" x14ac:dyDescent="0.3">
      <c r="A45" s="1" t="s">
        <v>96</v>
      </c>
      <c r="B45" s="2">
        <v>45233</v>
      </c>
      <c r="C45" s="1" t="s">
        <v>50</v>
      </c>
      <c r="D45" s="1" t="s">
        <v>51</v>
      </c>
      <c r="E45" s="1" t="s">
        <v>12</v>
      </c>
      <c r="F45" s="1" t="s">
        <v>13</v>
      </c>
      <c r="G45" s="1" t="s">
        <v>23</v>
      </c>
      <c r="H45">
        <v>3698</v>
      </c>
      <c r="I45">
        <v>2</v>
      </c>
      <c r="J45">
        <v>2023</v>
      </c>
      <c r="K45" s="1" t="s">
        <v>873</v>
      </c>
      <c r="L45">
        <v>11</v>
      </c>
      <c r="M45" s="1">
        <v>7396</v>
      </c>
    </row>
    <row r="46" spans="1:13" x14ac:dyDescent="0.3">
      <c r="A46" s="1" t="s">
        <v>97</v>
      </c>
      <c r="B46" s="2">
        <v>45123</v>
      </c>
      <c r="C46" s="1" t="s">
        <v>47</v>
      </c>
      <c r="D46" s="1" t="s">
        <v>48</v>
      </c>
      <c r="E46" s="1" t="s">
        <v>29</v>
      </c>
      <c r="F46" s="1" t="s">
        <v>22</v>
      </c>
      <c r="G46" s="1" t="s">
        <v>40</v>
      </c>
      <c r="H46">
        <v>16626</v>
      </c>
      <c r="I46">
        <v>6</v>
      </c>
      <c r="J46">
        <v>2023</v>
      </c>
      <c r="K46" s="1" t="s">
        <v>864</v>
      </c>
      <c r="L46">
        <v>7</v>
      </c>
      <c r="M46" s="1">
        <v>99756</v>
      </c>
    </row>
    <row r="47" spans="1:13" x14ac:dyDescent="0.3">
      <c r="A47" s="1" t="s">
        <v>98</v>
      </c>
      <c r="B47" s="2">
        <v>45149</v>
      </c>
      <c r="C47" s="1" t="s">
        <v>64</v>
      </c>
      <c r="D47" s="1" t="s">
        <v>65</v>
      </c>
      <c r="E47" s="1" t="s">
        <v>29</v>
      </c>
      <c r="F47" s="1" t="s">
        <v>22</v>
      </c>
      <c r="G47" s="1" t="s">
        <v>23</v>
      </c>
      <c r="H47">
        <v>17630</v>
      </c>
      <c r="I47">
        <v>10</v>
      </c>
      <c r="J47">
        <v>2023</v>
      </c>
      <c r="K47" s="1" t="s">
        <v>874</v>
      </c>
      <c r="L47">
        <v>8</v>
      </c>
      <c r="M47" s="1">
        <v>176300</v>
      </c>
    </row>
    <row r="48" spans="1:13" x14ac:dyDescent="0.3">
      <c r="A48" s="1" t="s">
        <v>99</v>
      </c>
      <c r="B48" s="2">
        <v>45099</v>
      </c>
      <c r="C48" s="1" t="s">
        <v>27</v>
      </c>
      <c r="D48" s="1" t="s">
        <v>28</v>
      </c>
      <c r="E48" s="1" t="s">
        <v>12</v>
      </c>
      <c r="F48" s="1" t="s">
        <v>22</v>
      </c>
      <c r="G48" s="1" t="s">
        <v>23</v>
      </c>
      <c r="H48">
        <v>40815</v>
      </c>
      <c r="I48">
        <v>9</v>
      </c>
      <c r="J48">
        <v>2023</v>
      </c>
      <c r="K48" s="1" t="s">
        <v>863</v>
      </c>
      <c r="L48">
        <v>6</v>
      </c>
      <c r="M48" s="1">
        <v>367335</v>
      </c>
    </row>
    <row r="49" spans="1:13" x14ac:dyDescent="0.3">
      <c r="A49" s="1" t="s">
        <v>100</v>
      </c>
      <c r="B49" s="2">
        <v>45195</v>
      </c>
      <c r="C49" s="1" t="s">
        <v>64</v>
      </c>
      <c r="D49" s="1" t="s">
        <v>65</v>
      </c>
      <c r="E49" s="1" t="s">
        <v>29</v>
      </c>
      <c r="F49" s="1" t="s">
        <v>13</v>
      </c>
      <c r="G49" s="1" t="s">
        <v>14</v>
      </c>
      <c r="H49">
        <v>5320</v>
      </c>
      <c r="I49">
        <v>2</v>
      </c>
      <c r="J49">
        <v>2023</v>
      </c>
      <c r="K49" s="1" t="s">
        <v>866</v>
      </c>
      <c r="L49">
        <v>9</v>
      </c>
      <c r="M49" s="1">
        <v>10640</v>
      </c>
    </row>
    <row r="50" spans="1:13" x14ac:dyDescent="0.3">
      <c r="A50" s="1" t="s">
        <v>101</v>
      </c>
      <c r="B50" s="2">
        <v>45112</v>
      </c>
      <c r="C50" s="1" t="s">
        <v>77</v>
      </c>
      <c r="D50" s="1" t="s">
        <v>78</v>
      </c>
      <c r="E50" s="1" t="s">
        <v>29</v>
      </c>
      <c r="F50" s="1" t="s">
        <v>13</v>
      </c>
      <c r="G50" s="1" t="s">
        <v>23</v>
      </c>
      <c r="H50">
        <v>14990</v>
      </c>
      <c r="I50">
        <v>5</v>
      </c>
      <c r="J50">
        <v>2023</v>
      </c>
      <c r="K50" s="1" t="s">
        <v>864</v>
      </c>
      <c r="L50">
        <v>7</v>
      </c>
      <c r="M50" s="1">
        <v>74950</v>
      </c>
    </row>
    <row r="51" spans="1:13" x14ac:dyDescent="0.3">
      <c r="A51" s="1" t="s">
        <v>102</v>
      </c>
      <c r="B51" s="2">
        <v>45254</v>
      </c>
      <c r="C51" s="1" t="s">
        <v>64</v>
      </c>
      <c r="D51" s="1" t="s">
        <v>65</v>
      </c>
      <c r="E51" s="1" t="s">
        <v>12</v>
      </c>
      <c r="F51" s="1" t="s">
        <v>22</v>
      </c>
      <c r="G51" s="1" t="s">
        <v>40</v>
      </c>
      <c r="H51">
        <v>19668</v>
      </c>
      <c r="I51">
        <v>6</v>
      </c>
      <c r="J51">
        <v>2023</v>
      </c>
      <c r="K51" s="1" t="s">
        <v>873</v>
      </c>
      <c r="L51">
        <v>11</v>
      </c>
      <c r="M51" s="1">
        <v>118008</v>
      </c>
    </row>
    <row r="52" spans="1:13" x14ac:dyDescent="0.3">
      <c r="A52" s="1" t="s">
        <v>103</v>
      </c>
      <c r="B52" s="2">
        <v>44934</v>
      </c>
      <c r="C52" s="1" t="s">
        <v>64</v>
      </c>
      <c r="D52" s="1" t="s">
        <v>65</v>
      </c>
      <c r="E52" s="1" t="s">
        <v>36</v>
      </c>
      <c r="F52" s="1" t="s">
        <v>18</v>
      </c>
      <c r="G52" s="1" t="s">
        <v>14</v>
      </c>
      <c r="H52">
        <v>6024</v>
      </c>
      <c r="I52">
        <v>6</v>
      </c>
      <c r="J52">
        <v>2023</v>
      </c>
      <c r="K52" s="1" t="s">
        <v>868</v>
      </c>
      <c r="L52">
        <v>1</v>
      </c>
      <c r="M52" s="1">
        <v>36144</v>
      </c>
    </row>
    <row r="53" spans="1:13" x14ac:dyDescent="0.3">
      <c r="A53" s="1" t="s">
        <v>104</v>
      </c>
      <c r="B53" s="2">
        <v>44927</v>
      </c>
      <c r="C53" s="1" t="s">
        <v>89</v>
      </c>
      <c r="D53" s="1" t="s">
        <v>90</v>
      </c>
      <c r="E53" s="1" t="s">
        <v>29</v>
      </c>
      <c r="F53" s="1" t="s">
        <v>25</v>
      </c>
      <c r="G53" s="1" t="s">
        <v>23</v>
      </c>
      <c r="H53">
        <v>2308</v>
      </c>
      <c r="I53">
        <v>2</v>
      </c>
      <c r="J53">
        <v>2023</v>
      </c>
      <c r="K53" s="1" t="s">
        <v>868</v>
      </c>
      <c r="L53">
        <v>1</v>
      </c>
      <c r="M53" s="1">
        <v>4616</v>
      </c>
    </row>
    <row r="54" spans="1:13" x14ac:dyDescent="0.3">
      <c r="A54" s="1" t="s">
        <v>105</v>
      </c>
      <c r="B54" s="2">
        <v>45204</v>
      </c>
      <c r="C54" s="1" t="s">
        <v>67</v>
      </c>
      <c r="D54" s="1" t="s">
        <v>68</v>
      </c>
      <c r="E54" s="1" t="s">
        <v>29</v>
      </c>
      <c r="F54" s="1" t="s">
        <v>25</v>
      </c>
      <c r="G54" s="1" t="s">
        <v>23</v>
      </c>
      <c r="H54">
        <v>18905</v>
      </c>
      <c r="I54">
        <v>5</v>
      </c>
      <c r="J54">
        <v>2023</v>
      </c>
      <c r="K54" s="1" t="s">
        <v>865</v>
      </c>
      <c r="L54">
        <v>10</v>
      </c>
      <c r="M54" s="1">
        <v>94525</v>
      </c>
    </row>
    <row r="55" spans="1:13" x14ac:dyDescent="0.3">
      <c r="A55" s="1" t="s">
        <v>106</v>
      </c>
      <c r="B55" s="2">
        <v>45254</v>
      </c>
      <c r="C55" s="1" t="s">
        <v>53</v>
      </c>
      <c r="D55" s="1" t="s">
        <v>54</v>
      </c>
      <c r="E55" s="1" t="s">
        <v>29</v>
      </c>
      <c r="F55" s="1" t="s">
        <v>22</v>
      </c>
      <c r="G55" s="1" t="s">
        <v>14</v>
      </c>
      <c r="H55">
        <v>11574</v>
      </c>
      <c r="I55">
        <v>6</v>
      </c>
      <c r="J55">
        <v>2023</v>
      </c>
      <c r="K55" s="1" t="s">
        <v>873</v>
      </c>
      <c r="L55">
        <v>11</v>
      </c>
      <c r="M55" s="1">
        <v>69444</v>
      </c>
    </row>
    <row r="56" spans="1:13" x14ac:dyDescent="0.3">
      <c r="A56" s="1" t="s">
        <v>107</v>
      </c>
      <c r="B56" s="2">
        <v>44934</v>
      </c>
      <c r="C56" s="1" t="s">
        <v>61</v>
      </c>
      <c r="D56" s="1" t="s">
        <v>62</v>
      </c>
      <c r="E56" s="1" t="s">
        <v>12</v>
      </c>
      <c r="F56" s="1" t="s">
        <v>25</v>
      </c>
      <c r="G56" s="1" t="s">
        <v>14</v>
      </c>
      <c r="H56">
        <v>34090</v>
      </c>
      <c r="I56">
        <v>7</v>
      </c>
      <c r="J56">
        <v>2023</v>
      </c>
      <c r="K56" s="1" t="s">
        <v>868</v>
      </c>
      <c r="L56">
        <v>1</v>
      </c>
      <c r="M56" s="1">
        <v>238630</v>
      </c>
    </row>
    <row r="57" spans="1:13" x14ac:dyDescent="0.3">
      <c r="A57" s="1" t="s">
        <v>108</v>
      </c>
      <c r="B57" s="2">
        <v>44977</v>
      </c>
      <c r="C57" s="1" t="s">
        <v>109</v>
      </c>
      <c r="D57" s="1" t="s">
        <v>110</v>
      </c>
      <c r="E57" s="1" t="s">
        <v>36</v>
      </c>
      <c r="F57" s="1" t="s">
        <v>13</v>
      </c>
      <c r="G57" s="1" t="s">
        <v>40</v>
      </c>
      <c r="H57">
        <v>18180</v>
      </c>
      <c r="I57">
        <v>4</v>
      </c>
      <c r="J57">
        <v>2023</v>
      </c>
      <c r="K57" s="1" t="s">
        <v>871</v>
      </c>
      <c r="L57">
        <v>2</v>
      </c>
      <c r="M57" s="1">
        <v>72720</v>
      </c>
    </row>
    <row r="58" spans="1:13" x14ac:dyDescent="0.3">
      <c r="A58" s="1" t="s">
        <v>111</v>
      </c>
      <c r="B58" s="2">
        <v>45209</v>
      </c>
      <c r="C58" s="1" t="s">
        <v>31</v>
      </c>
      <c r="D58" s="1" t="s">
        <v>32</v>
      </c>
      <c r="E58" s="1" t="s">
        <v>29</v>
      </c>
      <c r="F58" s="1" t="s">
        <v>22</v>
      </c>
      <c r="G58" s="1" t="s">
        <v>14</v>
      </c>
      <c r="H58">
        <v>26600</v>
      </c>
      <c r="I58">
        <v>8</v>
      </c>
      <c r="J58">
        <v>2023</v>
      </c>
      <c r="K58" s="1" t="s">
        <v>865</v>
      </c>
      <c r="L58">
        <v>10</v>
      </c>
      <c r="M58" s="1">
        <v>212800</v>
      </c>
    </row>
    <row r="59" spans="1:13" x14ac:dyDescent="0.3">
      <c r="A59" s="1" t="s">
        <v>112</v>
      </c>
      <c r="B59" s="2">
        <v>45221</v>
      </c>
      <c r="C59" s="1" t="s">
        <v>10</v>
      </c>
      <c r="D59" s="1" t="s">
        <v>11</v>
      </c>
      <c r="E59" s="1" t="s">
        <v>36</v>
      </c>
      <c r="F59" s="1" t="s">
        <v>13</v>
      </c>
      <c r="G59" s="1" t="s">
        <v>40</v>
      </c>
      <c r="H59">
        <v>3237</v>
      </c>
      <c r="I59">
        <v>1</v>
      </c>
      <c r="J59">
        <v>2023</v>
      </c>
      <c r="K59" s="1" t="s">
        <v>865</v>
      </c>
      <c r="L59">
        <v>10</v>
      </c>
      <c r="M59" s="1">
        <v>3237</v>
      </c>
    </row>
    <row r="60" spans="1:13" x14ac:dyDescent="0.3">
      <c r="A60" s="1" t="s">
        <v>113</v>
      </c>
      <c r="B60" s="2">
        <v>45254</v>
      </c>
      <c r="C60" s="1" t="s">
        <v>16</v>
      </c>
      <c r="D60" s="1" t="s">
        <v>17</v>
      </c>
      <c r="E60" s="1" t="s">
        <v>12</v>
      </c>
      <c r="F60" s="1" t="s">
        <v>13</v>
      </c>
      <c r="G60" s="1" t="s">
        <v>40</v>
      </c>
      <c r="H60">
        <v>17192</v>
      </c>
      <c r="I60">
        <v>7</v>
      </c>
      <c r="J60">
        <v>2023</v>
      </c>
      <c r="K60" s="1" t="s">
        <v>873</v>
      </c>
      <c r="L60">
        <v>11</v>
      </c>
      <c r="M60" s="1">
        <v>120344</v>
      </c>
    </row>
    <row r="61" spans="1:13" x14ac:dyDescent="0.3">
      <c r="A61" s="1" t="s">
        <v>114</v>
      </c>
      <c r="B61" s="2">
        <v>45018</v>
      </c>
      <c r="C61" s="1" t="s">
        <v>31</v>
      </c>
      <c r="D61" s="1" t="s">
        <v>32</v>
      </c>
      <c r="E61" s="1" t="s">
        <v>12</v>
      </c>
      <c r="F61" s="1" t="s">
        <v>25</v>
      </c>
      <c r="G61" s="1" t="s">
        <v>23</v>
      </c>
      <c r="H61">
        <v>41220</v>
      </c>
      <c r="I61">
        <v>10</v>
      </c>
      <c r="J61">
        <v>2023</v>
      </c>
      <c r="K61" s="1" t="s">
        <v>867</v>
      </c>
      <c r="L61">
        <v>4</v>
      </c>
      <c r="M61" s="1">
        <v>412200</v>
      </c>
    </row>
    <row r="62" spans="1:13" x14ac:dyDescent="0.3">
      <c r="A62" s="1" t="s">
        <v>115</v>
      </c>
      <c r="B62" s="2">
        <v>45116</v>
      </c>
      <c r="C62" s="1" t="s">
        <v>16</v>
      </c>
      <c r="D62" s="1" t="s">
        <v>17</v>
      </c>
      <c r="E62" s="1" t="s">
        <v>29</v>
      </c>
      <c r="F62" s="1" t="s">
        <v>13</v>
      </c>
      <c r="G62" s="1" t="s">
        <v>14</v>
      </c>
      <c r="H62">
        <v>14160</v>
      </c>
      <c r="I62">
        <v>4</v>
      </c>
      <c r="J62">
        <v>2023</v>
      </c>
      <c r="K62" s="1" t="s">
        <v>864</v>
      </c>
      <c r="L62">
        <v>7</v>
      </c>
      <c r="M62" s="1">
        <v>56640</v>
      </c>
    </row>
    <row r="63" spans="1:13" x14ac:dyDescent="0.3">
      <c r="A63" s="1" t="s">
        <v>116</v>
      </c>
      <c r="B63" s="2">
        <v>45104</v>
      </c>
      <c r="C63" s="1" t="s">
        <v>34</v>
      </c>
      <c r="D63" s="1" t="s">
        <v>35</v>
      </c>
      <c r="E63" s="1" t="s">
        <v>29</v>
      </c>
      <c r="F63" s="1" t="s">
        <v>22</v>
      </c>
      <c r="G63" s="1" t="s">
        <v>23</v>
      </c>
      <c r="H63">
        <v>4014</v>
      </c>
      <c r="I63">
        <v>2</v>
      </c>
      <c r="J63">
        <v>2023</v>
      </c>
      <c r="K63" s="1" t="s">
        <v>863</v>
      </c>
      <c r="L63">
        <v>6</v>
      </c>
      <c r="M63" s="1">
        <v>8028</v>
      </c>
    </row>
    <row r="64" spans="1:13" x14ac:dyDescent="0.3">
      <c r="A64" s="1" t="s">
        <v>117</v>
      </c>
      <c r="B64" s="2">
        <v>44997</v>
      </c>
      <c r="C64" s="1" t="s">
        <v>77</v>
      </c>
      <c r="D64" s="1" t="s">
        <v>78</v>
      </c>
      <c r="E64" s="1" t="s">
        <v>36</v>
      </c>
      <c r="F64" s="1" t="s">
        <v>25</v>
      </c>
      <c r="G64" s="1" t="s">
        <v>23</v>
      </c>
      <c r="H64">
        <v>42948</v>
      </c>
      <c r="I64">
        <v>9</v>
      </c>
      <c r="J64">
        <v>2023</v>
      </c>
      <c r="K64" s="1" t="s">
        <v>870</v>
      </c>
      <c r="L64">
        <v>3</v>
      </c>
      <c r="M64" s="1">
        <v>386532</v>
      </c>
    </row>
    <row r="65" spans="1:13" x14ac:dyDescent="0.3">
      <c r="A65" s="1" t="s">
        <v>118</v>
      </c>
      <c r="B65" s="2">
        <v>45089</v>
      </c>
      <c r="C65" s="1" t="s">
        <v>77</v>
      </c>
      <c r="D65" s="1" t="s">
        <v>78</v>
      </c>
      <c r="E65" s="1" t="s">
        <v>12</v>
      </c>
      <c r="F65" s="1" t="s">
        <v>22</v>
      </c>
      <c r="G65" s="1" t="s">
        <v>23</v>
      </c>
      <c r="H65">
        <v>7060</v>
      </c>
      <c r="I65">
        <v>2</v>
      </c>
      <c r="J65">
        <v>2023</v>
      </c>
      <c r="K65" s="1" t="s">
        <v>863</v>
      </c>
      <c r="L65">
        <v>6</v>
      </c>
      <c r="M65" s="1">
        <v>14120</v>
      </c>
    </row>
    <row r="66" spans="1:13" x14ac:dyDescent="0.3">
      <c r="A66" s="1" t="s">
        <v>119</v>
      </c>
      <c r="B66" s="2">
        <v>44943</v>
      </c>
      <c r="C66" s="1" t="s">
        <v>38</v>
      </c>
      <c r="D66" s="1" t="s">
        <v>39</v>
      </c>
      <c r="E66" s="1" t="s">
        <v>36</v>
      </c>
      <c r="F66" s="1" t="s">
        <v>25</v>
      </c>
      <c r="G66" s="1" t="s">
        <v>14</v>
      </c>
      <c r="H66">
        <v>2606</v>
      </c>
      <c r="I66">
        <v>2</v>
      </c>
      <c r="J66">
        <v>2023</v>
      </c>
      <c r="K66" s="1" t="s">
        <v>868</v>
      </c>
      <c r="L66">
        <v>1</v>
      </c>
      <c r="M66" s="1">
        <v>5212</v>
      </c>
    </row>
    <row r="67" spans="1:13" x14ac:dyDescent="0.3">
      <c r="A67" s="1" t="s">
        <v>120</v>
      </c>
      <c r="B67" s="2">
        <v>45287</v>
      </c>
      <c r="C67" s="1" t="s">
        <v>47</v>
      </c>
      <c r="D67" s="1" t="s">
        <v>48</v>
      </c>
      <c r="E67" s="1" t="s">
        <v>12</v>
      </c>
      <c r="F67" s="1" t="s">
        <v>18</v>
      </c>
      <c r="G67" s="1" t="s">
        <v>23</v>
      </c>
      <c r="H67">
        <v>9248</v>
      </c>
      <c r="I67">
        <v>8</v>
      </c>
      <c r="J67">
        <v>2023</v>
      </c>
      <c r="K67" s="1" t="s">
        <v>869</v>
      </c>
      <c r="L67">
        <v>12</v>
      </c>
      <c r="M67" s="1">
        <v>73984</v>
      </c>
    </row>
    <row r="68" spans="1:13" x14ac:dyDescent="0.3">
      <c r="A68" s="1" t="s">
        <v>121</v>
      </c>
      <c r="B68" s="2">
        <v>45258</v>
      </c>
      <c r="C68" s="1" t="s">
        <v>64</v>
      </c>
      <c r="D68" s="1" t="s">
        <v>65</v>
      </c>
      <c r="E68" s="1" t="s">
        <v>12</v>
      </c>
      <c r="F68" s="1" t="s">
        <v>25</v>
      </c>
      <c r="G68" s="1" t="s">
        <v>40</v>
      </c>
      <c r="H68">
        <v>5040</v>
      </c>
      <c r="I68">
        <v>6</v>
      </c>
      <c r="J68">
        <v>2023</v>
      </c>
      <c r="K68" s="1" t="s">
        <v>873</v>
      </c>
      <c r="L68">
        <v>11</v>
      </c>
      <c r="M68" s="1">
        <v>30240</v>
      </c>
    </row>
    <row r="69" spans="1:13" x14ac:dyDescent="0.3">
      <c r="A69" s="1" t="s">
        <v>122</v>
      </c>
      <c r="B69" s="2">
        <v>44953</v>
      </c>
      <c r="C69" s="1" t="s">
        <v>123</v>
      </c>
      <c r="D69" s="1" t="s">
        <v>124</v>
      </c>
      <c r="E69" s="1" t="s">
        <v>29</v>
      </c>
      <c r="F69" s="1" t="s">
        <v>13</v>
      </c>
      <c r="G69" s="1" t="s">
        <v>40</v>
      </c>
      <c r="H69">
        <v>10254</v>
      </c>
      <c r="I69">
        <v>3</v>
      </c>
      <c r="J69">
        <v>2023</v>
      </c>
      <c r="K69" s="1" t="s">
        <v>868</v>
      </c>
      <c r="L69">
        <v>1</v>
      </c>
      <c r="M69" s="1">
        <v>30762</v>
      </c>
    </row>
    <row r="70" spans="1:13" x14ac:dyDescent="0.3">
      <c r="A70" s="1" t="s">
        <v>125</v>
      </c>
      <c r="B70" s="2">
        <v>45029</v>
      </c>
      <c r="C70" s="1" t="s">
        <v>34</v>
      </c>
      <c r="D70" s="1" t="s">
        <v>35</v>
      </c>
      <c r="E70" s="1" t="s">
        <v>36</v>
      </c>
      <c r="F70" s="1" t="s">
        <v>13</v>
      </c>
      <c r="G70" s="1" t="s">
        <v>23</v>
      </c>
      <c r="H70">
        <v>9261</v>
      </c>
      <c r="I70">
        <v>7</v>
      </c>
      <c r="J70">
        <v>2023</v>
      </c>
      <c r="K70" s="1" t="s">
        <v>867</v>
      </c>
      <c r="L70">
        <v>4</v>
      </c>
      <c r="M70" s="1">
        <v>64827</v>
      </c>
    </row>
    <row r="71" spans="1:13" x14ac:dyDescent="0.3">
      <c r="A71" s="1" t="s">
        <v>126</v>
      </c>
      <c r="B71" s="2">
        <v>45135</v>
      </c>
      <c r="C71" s="1" t="s">
        <v>47</v>
      </c>
      <c r="D71" s="1" t="s">
        <v>48</v>
      </c>
      <c r="E71" s="1" t="s">
        <v>36</v>
      </c>
      <c r="F71" s="1" t="s">
        <v>25</v>
      </c>
      <c r="G71" s="1" t="s">
        <v>40</v>
      </c>
      <c r="H71">
        <v>9258</v>
      </c>
      <c r="I71">
        <v>6</v>
      </c>
      <c r="J71">
        <v>2023</v>
      </c>
      <c r="K71" s="1" t="s">
        <v>864</v>
      </c>
      <c r="L71">
        <v>7</v>
      </c>
      <c r="M71" s="1">
        <v>55548</v>
      </c>
    </row>
    <row r="72" spans="1:13" x14ac:dyDescent="0.3">
      <c r="A72" s="1" t="s">
        <v>127</v>
      </c>
      <c r="B72" s="2">
        <v>45112</v>
      </c>
      <c r="C72" s="1" t="s">
        <v>67</v>
      </c>
      <c r="D72" s="1" t="s">
        <v>68</v>
      </c>
      <c r="E72" s="1" t="s">
        <v>12</v>
      </c>
      <c r="F72" s="1" t="s">
        <v>22</v>
      </c>
      <c r="G72" s="1" t="s">
        <v>14</v>
      </c>
      <c r="H72">
        <v>23376</v>
      </c>
      <c r="I72">
        <v>6</v>
      </c>
      <c r="J72">
        <v>2023</v>
      </c>
      <c r="K72" s="1" t="s">
        <v>864</v>
      </c>
      <c r="L72">
        <v>7</v>
      </c>
      <c r="M72" s="1">
        <v>140256</v>
      </c>
    </row>
    <row r="73" spans="1:13" x14ac:dyDescent="0.3">
      <c r="A73" s="1" t="s">
        <v>128</v>
      </c>
      <c r="B73" s="2">
        <v>44978</v>
      </c>
      <c r="C73" s="1" t="s">
        <v>16</v>
      </c>
      <c r="D73" s="1" t="s">
        <v>17</v>
      </c>
      <c r="E73" s="1" t="s">
        <v>12</v>
      </c>
      <c r="F73" s="1" t="s">
        <v>25</v>
      </c>
      <c r="G73" s="1" t="s">
        <v>40</v>
      </c>
      <c r="H73">
        <v>24760</v>
      </c>
      <c r="I73">
        <v>10</v>
      </c>
      <c r="J73">
        <v>2023</v>
      </c>
      <c r="K73" s="1" t="s">
        <v>871</v>
      </c>
      <c r="L73">
        <v>2</v>
      </c>
      <c r="M73" s="1">
        <v>247600</v>
      </c>
    </row>
    <row r="74" spans="1:13" x14ac:dyDescent="0.3">
      <c r="A74" s="1" t="s">
        <v>129</v>
      </c>
      <c r="B74" s="2">
        <v>45173</v>
      </c>
      <c r="C74" s="1" t="s">
        <v>10</v>
      </c>
      <c r="D74" s="1" t="s">
        <v>11</v>
      </c>
      <c r="E74" s="1" t="s">
        <v>12</v>
      </c>
      <c r="F74" s="1" t="s">
        <v>18</v>
      </c>
      <c r="G74" s="1" t="s">
        <v>40</v>
      </c>
      <c r="H74">
        <v>10776</v>
      </c>
      <c r="I74">
        <v>6</v>
      </c>
      <c r="J74">
        <v>2023</v>
      </c>
      <c r="K74" s="1" t="s">
        <v>866</v>
      </c>
      <c r="L74">
        <v>9</v>
      </c>
      <c r="M74" s="1">
        <v>64656</v>
      </c>
    </row>
    <row r="75" spans="1:13" x14ac:dyDescent="0.3">
      <c r="A75" s="1" t="s">
        <v>130</v>
      </c>
      <c r="B75" s="2">
        <v>45074</v>
      </c>
      <c r="C75" s="1" t="s">
        <v>50</v>
      </c>
      <c r="D75" s="1" t="s">
        <v>51</v>
      </c>
      <c r="E75" s="1" t="s">
        <v>36</v>
      </c>
      <c r="F75" s="1" t="s">
        <v>22</v>
      </c>
      <c r="G75" s="1" t="s">
        <v>14</v>
      </c>
      <c r="H75">
        <v>27224</v>
      </c>
      <c r="I75">
        <v>8</v>
      </c>
      <c r="J75">
        <v>2023</v>
      </c>
      <c r="K75" s="1" t="s">
        <v>872</v>
      </c>
      <c r="L75">
        <v>5</v>
      </c>
      <c r="M75" s="1">
        <v>217792</v>
      </c>
    </row>
    <row r="76" spans="1:13" x14ac:dyDescent="0.3">
      <c r="A76" s="1" t="s">
        <v>131</v>
      </c>
      <c r="B76" s="2">
        <v>45263</v>
      </c>
      <c r="C76" s="1" t="s">
        <v>43</v>
      </c>
      <c r="D76" s="1" t="s">
        <v>44</v>
      </c>
      <c r="E76" s="1" t="s">
        <v>29</v>
      </c>
      <c r="F76" s="1" t="s">
        <v>13</v>
      </c>
      <c r="G76" s="1" t="s">
        <v>40</v>
      </c>
      <c r="H76">
        <v>4361</v>
      </c>
      <c r="I76">
        <v>1</v>
      </c>
      <c r="J76">
        <v>2023</v>
      </c>
      <c r="K76" s="1" t="s">
        <v>869</v>
      </c>
      <c r="L76">
        <v>12</v>
      </c>
      <c r="M76" s="1">
        <v>4361</v>
      </c>
    </row>
    <row r="77" spans="1:13" x14ac:dyDescent="0.3">
      <c r="A77" s="1" t="s">
        <v>132</v>
      </c>
      <c r="B77" s="2">
        <v>45067</v>
      </c>
      <c r="C77" s="1" t="s">
        <v>27</v>
      </c>
      <c r="D77" s="1" t="s">
        <v>28</v>
      </c>
      <c r="E77" s="1" t="s">
        <v>36</v>
      </c>
      <c r="F77" s="1" t="s">
        <v>22</v>
      </c>
      <c r="G77" s="1" t="s">
        <v>23</v>
      </c>
      <c r="H77">
        <v>31088</v>
      </c>
      <c r="I77">
        <v>8</v>
      </c>
      <c r="J77">
        <v>2023</v>
      </c>
      <c r="K77" s="1" t="s">
        <v>872</v>
      </c>
      <c r="L77">
        <v>5</v>
      </c>
      <c r="M77" s="1">
        <v>248704</v>
      </c>
    </row>
    <row r="78" spans="1:13" x14ac:dyDescent="0.3">
      <c r="A78" s="1" t="s">
        <v>133</v>
      </c>
      <c r="B78" s="2">
        <v>44977</v>
      </c>
      <c r="C78" s="1" t="s">
        <v>123</v>
      </c>
      <c r="D78" s="1" t="s">
        <v>124</v>
      </c>
      <c r="E78" s="1" t="s">
        <v>29</v>
      </c>
      <c r="F78" s="1" t="s">
        <v>25</v>
      </c>
      <c r="G78" s="1" t="s">
        <v>40</v>
      </c>
      <c r="H78">
        <v>8728</v>
      </c>
      <c r="I78">
        <v>2</v>
      </c>
      <c r="J78">
        <v>2023</v>
      </c>
      <c r="K78" s="1" t="s">
        <v>871</v>
      </c>
      <c r="L78">
        <v>2</v>
      </c>
      <c r="M78" s="1">
        <v>17456</v>
      </c>
    </row>
    <row r="79" spans="1:13" x14ac:dyDescent="0.3">
      <c r="A79" s="1" t="s">
        <v>134</v>
      </c>
      <c r="B79" s="2">
        <v>45262</v>
      </c>
      <c r="C79" s="1" t="s">
        <v>47</v>
      </c>
      <c r="D79" s="1" t="s">
        <v>48</v>
      </c>
      <c r="E79" s="1" t="s">
        <v>29</v>
      </c>
      <c r="F79" s="1" t="s">
        <v>18</v>
      </c>
      <c r="G79" s="1" t="s">
        <v>23</v>
      </c>
      <c r="H79">
        <v>8500</v>
      </c>
      <c r="I79">
        <v>4</v>
      </c>
      <c r="J79">
        <v>2023</v>
      </c>
      <c r="K79" s="1" t="s">
        <v>869</v>
      </c>
      <c r="L79">
        <v>12</v>
      </c>
      <c r="M79" s="1">
        <v>34000</v>
      </c>
    </row>
    <row r="80" spans="1:13" x14ac:dyDescent="0.3">
      <c r="A80" s="1" t="s">
        <v>135</v>
      </c>
      <c r="B80" s="2">
        <v>44992</v>
      </c>
      <c r="C80" s="1" t="s">
        <v>67</v>
      </c>
      <c r="D80" s="1" t="s">
        <v>68</v>
      </c>
      <c r="E80" s="1" t="s">
        <v>12</v>
      </c>
      <c r="F80" s="1" t="s">
        <v>13</v>
      </c>
      <c r="G80" s="1" t="s">
        <v>14</v>
      </c>
      <c r="H80">
        <v>20772</v>
      </c>
      <c r="I80">
        <v>9</v>
      </c>
      <c r="J80">
        <v>2023</v>
      </c>
      <c r="K80" s="1" t="s">
        <v>870</v>
      </c>
      <c r="L80">
        <v>3</v>
      </c>
      <c r="M80" s="1">
        <v>186948</v>
      </c>
    </row>
    <row r="81" spans="1:13" x14ac:dyDescent="0.3">
      <c r="A81" s="1" t="s">
        <v>136</v>
      </c>
      <c r="B81" s="2">
        <v>45035</v>
      </c>
      <c r="C81" s="1" t="s">
        <v>137</v>
      </c>
      <c r="D81" s="1" t="s">
        <v>138</v>
      </c>
      <c r="E81" s="1" t="s">
        <v>29</v>
      </c>
      <c r="F81" s="1" t="s">
        <v>25</v>
      </c>
      <c r="G81" s="1" t="s">
        <v>23</v>
      </c>
      <c r="H81">
        <v>22500</v>
      </c>
      <c r="I81">
        <v>9</v>
      </c>
      <c r="J81">
        <v>2023</v>
      </c>
      <c r="K81" s="1" t="s">
        <v>867</v>
      </c>
      <c r="L81">
        <v>4</v>
      </c>
      <c r="M81" s="1">
        <v>202500</v>
      </c>
    </row>
    <row r="82" spans="1:13" x14ac:dyDescent="0.3">
      <c r="A82" s="1" t="s">
        <v>139</v>
      </c>
      <c r="B82" s="2">
        <v>45257</v>
      </c>
      <c r="C82" s="1" t="s">
        <v>31</v>
      </c>
      <c r="D82" s="1" t="s">
        <v>32</v>
      </c>
      <c r="E82" s="1" t="s">
        <v>29</v>
      </c>
      <c r="F82" s="1" t="s">
        <v>13</v>
      </c>
      <c r="G82" s="1" t="s">
        <v>40</v>
      </c>
      <c r="H82">
        <v>30548</v>
      </c>
      <c r="I82">
        <v>7</v>
      </c>
      <c r="J82">
        <v>2023</v>
      </c>
      <c r="K82" s="1" t="s">
        <v>873</v>
      </c>
      <c r="L82">
        <v>11</v>
      </c>
      <c r="M82" s="1">
        <v>213836</v>
      </c>
    </row>
    <row r="83" spans="1:13" x14ac:dyDescent="0.3">
      <c r="A83" s="1" t="s">
        <v>140</v>
      </c>
      <c r="B83" s="2">
        <v>45137</v>
      </c>
      <c r="C83" s="1" t="s">
        <v>73</v>
      </c>
      <c r="D83" s="1" t="s">
        <v>74</v>
      </c>
      <c r="E83" s="1" t="s">
        <v>12</v>
      </c>
      <c r="F83" s="1" t="s">
        <v>18</v>
      </c>
      <c r="G83" s="1" t="s">
        <v>23</v>
      </c>
      <c r="H83">
        <v>30912</v>
      </c>
      <c r="I83">
        <v>7</v>
      </c>
      <c r="J83">
        <v>2023</v>
      </c>
      <c r="K83" s="1" t="s">
        <v>864</v>
      </c>
      <c r="L83">
        <v>7</v>
      </c>
      <c r="M83" s="1">
        <v>216384</v>
      </c>
    </row>
    <row r="84" spans="1:13" x14ac:dyDescent="0.3">
      <c r="A84" s="1" t="s">
        <v>141</v>
      </c>
      <c r="B84" s="2">
        <v>45007</v>
      </c>
      <c r="C84" s="1" t="s">
        <v>31</v>
      </c>
      <c r="D84" s="1" t="s">
        <v>32</v>
      </c>
      <c r="E84" s="1" t="s">
        <v>36</v>
      </c>
      <c r="F84" s="1" t="s">
        <v>18</v>
      </c>
      <c r="G84" s="1" t="s">
        <v>23</v>
      </c>
      <c r="H84">
        <v>8240</v>
      </c>
      <c r="I84">
        <v>4</v>
      </c>
      <c r="J84">
        <v>2023</v>
      </c>
      <c r="K84" s="1" t="s">
        <v>870</v>
      </c>
      <c r="L84">
        <v>3</v>
      </c>
      <c r="M84" s="1">
        <v>32960</v>
      </c>
    </row>
    <row r="85" spans="1:13" x14ac:dyDescent="0.3">
      <c r="A85" s="1" t="s">
        <v>142</v>
      </c>
      <c r="B85" s="2">
        <v>45150</v>
      </c>
      <c r="C85" s="1" t="s">
        <v>123</v>
      </c>
      <c r="D85" s="1" t="s">
        <v>124</v>
      </c>
      <c r="E85" s="1" t="s">
        <v>36</v>
      </c>
      <c r="F85" s="1" t="s">
        <v>22</v>
      </c>
      <c r="G85" s="1" t="s">
        <v>23</v>
      </c>
      <c r="H85">
        <v>15080</v>
      </c>
      <c r="I85">
        <v>5</v>
      </c>
      <c r="J85">
        <v>2023</v>
      </c>
      <c r="K85" s="1" t="s">
        <v>874</v>
      </c>
      <c r="L85">
        <v>8</v>
      </c>
      <c r="M85" s="1">
        <v>75400</v>
      </c>
    </row>
    <row r="86" spans="1:13" x14ac:dyDescent="0.3">
      <c r="A86" s="1" t="s">
        <v>143</v>
      </c>
      <c r="B86" s="2">
        <v>45073</v>
      </c>
      <c r="C86" s="1" t="s">
        <v>109</v>
      </c>
      <c r="D86" s="1" t="s">
        <v>110</v>
      </c>
      <c r="E86" s="1" t="s">
        <v>29</v>
      </c>
      <c r="F86" s="1" t="s">
        <v>25</v>
      </c>
      <c r="G86" s="1" t="s">
        <v>14</v>
      </c>
      <c r="H86">
        <v>11070</v>
      </c>
      <c r="I86">
        <v>5</v>
      </c>
      <c r="J86">
        <v>2023</v>
      </c>
      <c r="K86" s="1" t="s">
        <v>872</v>
      </c>
      <c r="L86">
        <v>5</v>
      </c>
      <c r="M86" s="1">
        <v>55350</v>
      </c>
    </row>
    <row r="87" spans="1:13" x14ac:dyDescent="0.3">
      <c r="A87" s="1" t="s">
        <v>144</v>
      </c>
      <c r="B87" s="2">
        <v>45031</v>
      </c>
      <c r="C87" s="1" t="s">
        <v>38</v>
      </c>
      <c r="D87" s="1" t="s">
        <v>39</v>
      </c>
      <c r="E87" s="1" t="s">
        <v>36</v>
      </c>
      <c r="F87" s="1" t="s">
        <v>25</v>
      </c>
      <c r="G87" s="1" t="s">
        <v>40</v>
      </c>
      <c r="H87">
        <v>1525</v>
      </c>
      <c r="I87">
        <v>1</v>
      </c>
      <c r="J87">
        <v>2023</v>
      </c>
      <c r="K87" s="1" t="s">
        <v>867</v>
      </c>
      <c r="L87">
        <v>4</v>
      </c>
      <c r="M87" s="1">
        <v>1525</v>
      </c>
    </row>
    <row r="88" spans="1:13" x14ac:dyDescent="0.3">
      <c r="A88" s="1" t="s">
        <v>145</v>
      </c>
      <c r="B88" s="2">
        <v>45161</v>
      </c>
      <c r="C88" s="1" t="s">
        <v>123</v>
      </c>
      <c r="D88" s="1" t="s">
        <v>124</v>
      </c>
      <c r="E88" s="1" t="s">
        <v>36</v>
      </c>
      <c r="F88" s="1" t="s">
        <v>25</v>
      </c>
      <c r="G88" s="1" t="s">
        <v>23</v>
      </c>
      <c r="H88">
        <v>10368</v>
      </c>
      <c r="I88">
        <v>8</v>
      </c>
      <c r="J88">
        <v>2023</v>
      </c>
      <c r="K88" s="1" t="s">
        <v>874</v>
      </c>
      <c r="L88">
        <v>8</v>
      </c>
      <c r="M88" s="1">
        <v>82944</v>
      </c>
    </row>
    <row r="89" spans="1:13" x14ac:dyDescent="0.3">
      <c r="A89" s="1" t="s">
        <v>146</v>
      </c>
      <c r="B89" s="2">
        <v>45100</v>
      </c>
      <c r="C89" s="1" t="s">
        <v>73</v>
      </c>
      <c r="D89" s="1" t="s">
        <v>74</v>
      </c>
      <c r="E89" s="1" t="s">
        <v>12</v>
      </c>
      <c r="F89" s="1" t="s">
        <v>22</v>
      </c>
      <c r="G89" s="1" t="s">
        <v>23</v>
      </c>
      <c r="H89">
        <v>19901</v>
      </c>
      <c r="I89">
        <v>7</v>
      </c>
      <c r="J89">
        <v>2023</v>
      </c>
      <c r="K89" s="1" t="s">
        <v>863</v>
      </c>
      <c r="L89">
        <v>6</v>
      </c>
      <c r="M89" s="1">
        <v>139307</v>
      </c>
    </row>
    <row r="90" spans="1:13" x14ac:dyDescent="0.3">
      <c r="A90" s="1" t="s">
        <v>147</v>
      </c>
      <c r="B90" s="2">
        <v>45114</v>
      </c>
      <c r="C90" s="1" t="s">
        <v>123</v>
      </c>
      <c r="D90" s="1" t="s">
        <v>124</v>
      </c>
      <c r="E90" s="1" t="s">
        <v>29</v>
      </c>
      <c r="F90" s="1" t="s">
        <v>25</v>
      </c>
      <c r="G90" s="1" t="s">
        <v>14</v>
      </c>
      <c r="H90">
        <v>11290</v>
      </c>
      <c r="I90">
        <v>10</v>
      </c>
      <c r="J90">
        <v>2023</v>
      </c>
      <c r="K90" s="1" t="s">
        <v>864</v>
      </c>
      <c r="L90">
        <v>7</v>
      </c>
      <c r="M90" s="1">
        <v>112900</v>
      </c>
    </row>
    <row r="91" spans="1:13" x14ac:dyDescent="0.3">
      <c r="A91" s="1" t="s">
        <v>148</v>
      </c>
      <c r="B91" s="2">
        <v>45200</v>
      </c>
      <c r="C91" s="1" t="s">
        <v>34</v>
      </c>
      <c r="D91" s="1" t="s">
        <v>35</v>
      </c>
      <c r="E91" s="1" t="s">
        <v>12</v>
      </c>
      <c r="F91" s="1" t="s">
        <v>18</v>
      </c>
      <c r="G91" s="1" t="s">
        <v>40</v>
      </c>
      <c r="H91">
        <v>6288</v>
      </c>
      <c r="I91">
        <v>6</v>
      </c>
      <c r="J91">
        <v>2023</v>
      </c>
      <c r="K91" s="1" t="s">
        <v>865</v>
      </c>
      <c r="L91">
        <v>10</v>
      </c>
      <c r="M91" s="1">
        <v>37728</v>
      </c>
    </row>
    <row r="92" spans="1:13" x14ac:dyDescent="0.3">
      <c r="A92" s="1" t="s">
        <v>149</v>
      </c>
      <c r="B92" s="2">
        <v>45066</v>
      </c>
      <c r="C92" s="1" t="s">
        <v>109</v>
      </c>
      <c r="D92" s="1" t="s">
        <v>110</v>
      </c>
      <c r="E92" s="1" t="s">
        <v>29</v>
      </c>
      <c r="F92" s="1" t="s">
        <v>13</v>
      </c>
      <c r="G92" s="1" t="s">
        <v>14</v>
      </c>
      <c r="H92">
        <v>9096</v>
      </c>
      <c r="I92">
        <v>2</v>
      </c>
      <c r="J92">
        <v>2023</v>
      </c>
      <c r="K92" s="1" t="s">
        <v>872</v>
      </c>
      <c r="L92">
        <v>5</v>
      </c>
      <c r="M92" s="1">
        <v>18192</v>
      </c>
    </row>
    <row r="93" spans="1:13" x14ac:dyDescent="0.3">
      <c r="A93" s="1" t="s">
        <v>150</v>
      </c>
      <c r="B93" s="2">
        <v>45172</v>
      </c>
      <c r="C93" s="1" t="s">
        <v>53</v>
      </c>
      <c r="D93" s="1" t="s">
        <v>54</v>
      </c>
      <c r="E93" s="1" t="s">
        <v>36</v>
      </c>
      <c r="F93" s="1" t="s">
        <v>22</v>
      </c>
      <c r="G93" s="1" t="s">
        <v>40</v>
      </c>
      <c r="H93">
        <v>12664</v>
      </c>
      <c r="I93">
        <v>8</v>
      </c>
      <c r="J93">
        <v>2023</v>
      </c>
      <c r="K93" s="1" t="s">
        <v>866</v>
      </c>
      <c r="L93">
        <v>9</v>
      </c>
      <c r="M93" s="1">
        <v>101312</v>
      </c>
    </row>
    <row r="94" spans="1:13" x14ac:dyDescent="0.3">
      <c r="A94" s="1" t="s">
        <v>151</v>
      </c>
      <c r="B94" s="2">
        <v>45148</v>
      </c>
      <c r="C94" s="1" t="s">
        <v>137</v>
      </c>
      <c r="D94" s="1" t="s">
        <v>138</v>
      </c>
      <c r="E94" s="1" t="s">
        <v>29</v>
      </c>
      <c r="F94" s="1" t="s">
        <v>22</v>
      </c>
      <c r="G94" s="1" t="s">
        <v>23</v>
      </c>
      <c r="H94">
        <v>26992</v>
      </c>
      <c r="I94">
        <v>7</v>
      </c>
      <c r="J94">
        <v>2023</v>
      </c>
      <c r="K94" s="1" t="s">
        <v>874</v>
      </c>
      <c r="L94">
        <v>8</v>
      </c>
      <c r="M94" s="1">
        <v>188944</v>
      </c>
    </row>
    <row r="95" spans="1:13" x14ac:dyDescent="0.3">
      <c r="A95" s="1" t="s">
        <v>152</v>
      </c>
      <c r="B95" s="2">
        <v>44956</v>
      </c>
      <c r="C95" s="1" t="s">
        <v>10</v>
      </c>
      <c r="D95" s="1" t="s">
        <v>11</v>
      </c>
      <c r="E95" s="1" t="s">
        <v>36</v>
      </c>
      <c r="F95" s="1" t="s">
        <v>22</v>
      </c>
      <c r="G95" s="1" t="s">
        <v>14</v>
      </c>
      <c r="H95">
        <v>19272</v>
      </c>
      <c r="I95">
        <v>8</v>
      </c>
      <c r="J95">
        <v>2023</v>
      </c>
      <c r="K95" s="1" t="s">
        <v>868</v>
      </c>
      <c r="L95">
        <v>1</v>
      </c>
      <c r="M95" s="1">
        <v>154176</v>
      </c>
    </row>
    <row r="96" spans="1:13" x14ac:dyDescent="0.3">
      <c r="A96" s="1" t="s">
        <v>153</v>
      </c>
      <c r="B96" s="2">
        <v>45149</v>
      </c>
      <c r="C96" s="1" t="s">
        <v>47</v>
      </c>
      <c r="D96" s="1" t="s">
        <v>48</v>
      </c>
      <c r="E96" s="1" t="s">
        <v>12</v>
      </c>
      <c r="F96" s="1" t="s">
        <v>18</v>
      </c>
      <c r="G96" s="1" t="s">
        <v>14</v>
      </c>
      <c r="H96">
        <v>9630</v>
      </c>
      <c r="I96">
        <v>5</v>
      </c>
      <c r="J96">
        <v>2023</v>
      </c>
      <c r="K96" s="1" t="s">
        <v>874</v>
      </c>
      <c r="L96">
        <v>8</v>
      </c>
      <c r="M96" s="1">
        <v>48150</v>
      </c>
    </row>
    <row r="97" spans="1:13" x14ac:dyDescent="0.3">
      <c r="A97" s="1" t="s">
        <v>154</v>
      </c>
      <c r="B97" s="2">
        <v>45056</v>
      </c>
      <c r="C97" s="1" t="s">
        <v>109</v>
      </c>
      <c r="D97" s="1" t="s">
        <v>110</v>
      </c>
      <c r="E97" s="1" t="s">
        <v>12</v>
      </c>
      <c r="F97" s="1" t="s">
        <v>13</v>
      </c>
      <c r="G97" s="1" t="s">
        <v>40</v>
      </c>
      <c r="H97">
        <v>40310</v>
      </c>
      <c r="I97">
        <v>10</v>
      </c>
      <c r="J97">
        <v>2023</v>
      </c>
      <c r="K97" s="1" t="s">
        <v>872</v>
      </c>
      <c r="L97">
        <v>5</v>
      </c>
      <c r="M97" s="1">
        <v>403100</v>
      </c>
    </row>
    <row r="98" spans="1:13" x14ac:dyDescent="0.3">
      <c r="A98" s="1" t="s">
        <v>155</v>
      </c>
      <c r="B98" s="2">
        <v>44967</v>
      </c>
      <c r="C98" s="1" t="s">
        <v>109</v>
      </c>
      <c r="D98" s="1" t="s">
        <v>110</v>
      </c>
      <c r="E98" s="1" t="s">
        <v>29</v>
      </c>
      <c r="F98" s="1" t="s">
        <v>13</v>
      </c>
      <c r="G98" s="1" t="s">
        <v>23</v>
      </c>
      <c r="H98">
        <v>7268</v>
      </c>
      <c r="I98">
        <v>4</v>
      </c>
      <c r="J98">
        <v>2023</v>
      </c>
      <c r="K98" s="1" t="s">
        <v>871</v>
      </c>
      <c r="L98">
        <v>2</v>
      </c>
      <c r="M98" s="1">
        <v>29072</v>
      </c>
    </row>
    <row r="99" spans="1:13" x14ac:dyDescent="0.3">
      <c r="A99" s="1" t="s">
        <v>156</v>
      </c>
      <c r="B99" s="2">
        <v>44998</v>
      </c>
      <c r="C99" s="1" t="s">
        <v>61</v>
      </c>
      <c r="D99" s="1" t="s">
        <v>62</v>
      </c>
      <c r="E99" s="1" t="s">
        <v>36</v>
      </c>
      <c r="F99" s="1" t="s">
        <v>13</v>
      </c>
      <c r="G99" s="1" t="s">
        <v>23</v>
      </c>
      <c r="H99">
        <v>20580</v>
      </c>
      <c r="I99">
        <v>7</v>
      </c>
      <c r="J99">
        <v>2023</v>
      </c>
      <c r="K99" s="1" t="s">
        <v>870</v>
      </c>
      <c r="L99">
        <v>3</v>
      </c>
      <c r="M99" s="1">
        <v>144060</v>
      </c>
    </row>
    <row r="100" spans="1:13" x14ac:dyDescent="0.3">
      <c r="A100" s="1" t="s">
        <v>157</v>
      </c>
      <c r="B100" s="2">
        <v>45082</v>
      </c>
      <c r="C100" s="1" t="s">
        <v>34</v>
      </c>
      <c r="D100" s="1" t="s">
        <v>35</v>
      </c>
      <c r="E100" s="1" t="s">
        <v>36</v>
      </c>
      <c r="F100" s="1" t="s">
        <v>13</v>
      </c>
      <c r="G100" s="1" t="s">
        <v>14</v>
      </c>
      <c r="H100">
        <v>12414</v>
      </c>
      <c r="I100">
        <v>6</v>
      </c>
      <c r="J100">
        <v>2023</v>
      </c>
      <c r="K100" s="1" t="s">
        <v>863</v>
      </c>
      <c r="L100">
        <v>6</v>
      </c>
      <c r="M100" s="1">
        <v>74484</v>
      </c>
    </row>
    <row r="101" spans="1:13" x14ac:dyDescent="0.3">
      <c r="A101" s="1" t="s">
        <v>158</v>
      </c>
      <c r="B101" s="2">
        <v>45163</v>
      </c>
      <c r="C101" s="1" t="s">
        <v>137</v>
      </c>
      <c r="D101" s="1" t="s">
        <v>138</v>
      </c>
      <c r="E101" s="1" t="s">
        <v>12</v>
      </c>
      <c r="F101" s="1" t="s">
        <v>18</v>
      </c>
      <c r="G101" s="1" t="s">
        <v>23</v>
      </c>
      <c r="H101">
        <v>7966</v>
      </c>
      <c r="I101">
        <v>7</v>
      </c>
      <c r="J101">
        <v>2023</v>
      </c>
      <c r="K101" s="1" t="s">
        <v>874</v>
      </c>
      <c r="L101">
        <v>8</v>
      </c>
      <c r="M101" s="1">
        <v>55762</v>
      </c>
    </row>
    <row r="102" spans="1:13" x14ac:dyDescent="0.3">
      <c r="A102" s="1" t="s">
        <v>159</v>
      </c>
      <c r="B102" s="2">
        <v>45254</v>
      </c>
      <c r="C102" s="1" t="s">
        <v>77</v>
      </c>
      <c r="D102" s="1" t="s">
        <v>78</v>
      </c>
      <c r="E102" s="1" t="s">
        <v>29</v>
      </c>
      <c r="F102" s="1" t="s">
        <v>22</v>
      </c>
      <c r="G102" s="1" t="s">
        <v>14</v>
      </c>
      <c r="H102">
        <v>41580</v>
      </c>
      <c r="I102">
        <v>9</v>
      </c>
      <c r="J102">
        <v>2023</v>
      </c>
      <c r="K102" s="1" t="s">
        <v>873</v>
      </c>
      <c r="L102">
        <v>11</v>
      </c>
      <c r="M102" s="1">
        <v>374220</v>
      </c>
    </row>
    <row r="103" spans="1:13" x14ac:dyDescent="0.3">
      <c r="A103" s="1" t="s">
        <v>160</v>
      </c>
      <c r="B103" s="2">
        <v>44992</v>
      </c>
      <c r="C103" s="1" t="s">
        <v>16</v>
      </c>
      <c r="D103" s="1" t="s">
        <v>17</v>
      </c>
      <c r="E103" s="1" t="s">
        <v>36</v>
      </c>
      <c r="F103" s="1" t="s">
        <v>13</v>
      </c>
      <c r="G103" s="1" t="s">
        <v>14</v>
      </c>
      <c r="H103">
        <v>8615</v>
      </c>
      <c r="I103">
        <v>5</v>
      </c>
      <c r="J103">
        <v>2023</v>
      </c>
      <c r="K103" s="1" t="s">
        <v>870</v>
      </c>
      <c r="L103">
        <v>3</v>
      </c>
      <c r="M103" s="1">
        <v>43075</v>
      </c>
    </row>
    <row r="104" spans="1:13" x14ac:dyDescent="0.3">
      <c r="A104" s="1" t="s">
        <v>161</v>
      </c>
      <c r="B104" s="2">
        <v>44985</v>
      </c>
      <c r="C104" s="1" t="s">
        <v>64</v>
      </c>
      <c r="D104" s="1" t="s">
        <v>65</v>
      </c>
      <c r="E104" s="1" t="s">
        <v>29</v>
      </c>
      <c r="F104" s="1" t="s">
        <v>22</v>
      </c>
      <c r="G104" s="1" t="s">
        <v>40</v>
      </c>
      <c r="H104">
        <v>18004</v>
      </c>
      <c r="I104">
        <v>4</v>
      </c>
      <c r="J104">
        <v>2023</v>
      </c>
      <c r="K104" s="1" t="s">
        <v>871</v>
      </c>
      <c r="L104">
        <v>2</v>
      </c>
      <c r="M104" s="1">
        <v>72016</v>
      </c>
    </row>
    <row r="105" spans="1:13" x14ac:dyDescent="0.3">
      <c r="A105" s="1" t="s">
        <v>162</v>
      </c>
      <c r="B105" s="2">
        <v>45168</v>
      </c>
      <c r="C105" s="1" t="s">
        <v>47</v>
      </c>
      <c r="D105" s="1" t="s">
        <v>48</v>
      </c>
      <c r="E105" s="1" t="s">
        <v>29</v>
      </c>
      <c r="F105" s="1" t="s">
        <v>22</v>
      </c>
      <c r="G105" s="1" t="s">
        <v>40</v>
      </c>
      <c r="H105">
        <v>20820</v>
      </c>
      <c r="I105">
        <v>10</v>
      </c>
      <c r="J105">
        <v>2023</v>
      </c>
      <c r="K105" s="1" t="s">
        <v>874</v>
      </c>
      <c r="L105">
        <v>8</v>
      </c>
      <c r="M105" s="1">
        <v>208200</v>
      </c>
    </row>
    <row r="106" spans="1:13" x14ac:dyDescent="0.3">
      <c r="A106" s="1" t="s">
        <v>163</v>
      </c>
      <c r="B106" s="2">
        <v>44946</v>
      </c>
      <c r="C106" s="1" t="s">
        <v>109</v>
      </c>
      <c r="D106" s="1" t="s">
        <v>110</v>
      </c>
      <c r="E106" s="1" t="s">
        <v>36</v>
      </c>
      <c r="F106" s="1" t="s">
        <v>18</v>
      </c>
      <c r="G106" s="1" t="s">
        <v>23</v>
      </c>
      <c r="H106">
        <v>4942</v>
      </c>
      <c r="I106">
        <v>2</v>
      </c>
      <c r="J106">
        <v>2023</v>
      </c>
      <c r="K106" s="1" t="s">
        <v>868</v>
      </c>
      <c r="L106">
        <v>1</v>
      </c>
      <c r="M106" s="1">
        <v>9884</v>
      </c>
    </row>
    <row r="107" spans="1:13" x14ac:dyDescent="0.3">
      <c r="A107" s="1" t="s">
        <v>164</v>
      </c>
      <c r="B107" s="2">
        <v>45172</v>
      </c>
      <c r="C107" s="1" t="s">
        <v>34</v>
      </c>
      <c r="D107" s="1" t="s">
        <v>35</v>
      </c>
      <c r="E107" s="1" t="s">
        <v>12</v>
      </c>
      <c r="F107" s="1" t="s">
        <v>18</v>
      </c>
      <c r="G107" s="1" t="s">
        <v>23</v>
      </c>
      <c r="H107">
        <v>15579</v>
      </c>
      <c r="I107">
        <v>9</v>
      </c>
      <c r="J107">
        <v>2023</v>
      </c>
      <c r="K107" s="1" t="s">
        <v>866</v>
      </c>
      <c r="L107">
        <v>9</v>
      </c>
      <c r="M107" s="1">
        <v>140211</v>
      </c>
    </row>
    <row r="108" spans="1:13" x14ac:dyDescent="0.3">
      <c r="A108" s="1" t="s">
        <v>165</v>
      </c>
      <c r="B108" s="2">
        <v>45148</v>
      </c>
      <c r="C108" s="1" t="s">
        <v>10</v>
      </c>
      <c r="D108" s="1" t="s">
        <v>11</v>
      </c>
      <c r="E108" s="1" t="s">
        <v>29</v>
      </c>
      <c r="F108" s="1" t="s">
        <v>13</v>
      </c>
      <c r="G108" s="1" t="s">
        <v>14</v>
      </c>
      <c r="H108">
        <v>4897</v>
      </c>
      <c r="I108">
        <v>1</v>
      </c>
      <c r="J108">
        <v>2023</v>
      </c>
      <c r="K108" s="1" t="s">
        <v>874</v>
      </c>
      <c r="L108">
        <v>8</v>
      </c>
      <c r="M108" s="1">
        <v>4897</v>
      </c>
    </row>
    <row r="109" spans="1:13" x14ac:dyDescent="0.3">
      <c r="A109" s="1" t="s">
        <v>166</v>
      </c>
      <c r="B109" s="2">
        <v>45084</v>
      </c>
      <c r="C109" s="1" t="s">
        <v>38</v>
      </c>
      <c r="D109" s="1" t="s">
        <v>39</v>
      </c>
      <c r="E109" s="1" t="s">
        <v>29</v>
      </c>
      <c r="F109" s="1" t="s">
        <v>18</v>
      </c>
      <c r="G109" s="1" t="s">
        <v>23</v>
      </c>
      <c r="H109">
        <v>15100</v>
      </c>
      <c r="I109">
        <v>10</v>
      </c>
      <c r="J109">
        <v>2023</v>
      </c>
      <c r="K109" s="1" t="s">
        <v>863</v>
      </c>
      <c r="L109">
        <v>6</v>
      </c>
      <c r="M109" s="1">
        <v>151000</v>
      </c>
    </row>
    <row r="110" spans="1:13" x14ac:dyDescent="0.3">
      <c r="A110" s="1" t="s">
        <v>167</v>
      </c>
      <c r="B110" s="2">
        <v>45137</v>
      </c>
      <c r="C110" s="1" t="s">
        <v>61</v>
      </c>
      <c r="D110" s="1" t="s">
        <v>62</v>
      </c>
      <c r="E110" s="1" t="s">
        <v>29</v>
      </c>
      <c r="F110" s="1" t="s">
        <v>13</v>
      </c>
      <c r="G110" s="1" t="s">
        <v>40</v>
      </c>
      <c r="H110">
        <v>14931</v>
      </c>
      <c r="I110">
        <v>3</v>
      </c>
      <c r="J110">
        <v>2023</v>
      </c>
      <c r="K110" s="1" t="s">
        <v>864</v>
      </c>
      <c r="L110">
        <v>7</v>
      </c>
      <c r="M110" s="1">
        <v>44793</v>
      </c>
    </row>
    <row r="111" spans="1:13" x14ac:dyDescent="0.3">
      <c r="A111" s="1" t="s">
        <v>168</v>
      </c>
      <c r="B111" s="2">
        <v>45180</v>
      </c>
      <c r="C111" s="1" t="s">
        <v>31</v>
      </c>
      <c r="D111" s="1" t="s">
        <v>32</v>
      </c>
      <c r="E111" s="1" t="s">
        <v>36</v>
      </c>
      <c r="F111" s="1" t="s">
        <v>13</v>
      </c>
      <c r="G111" s="1" t="s">
        <v>23</v>
      </c>
      <c r="H111">
        <v>49100</v>
      </c>
      <c r="I111">
        <v>10</v>
      </c>
      <c r="J111">
        <v>2023</v>
      </c>
      <c r="K111" s="1" t="s">
        <v>866</v>
      </c>
      <c r="L111">
        <v>9</v>
      </c>
      <c r="M111" s="1">
        <v>491000</v>
      </c>
    </row>
    <row r="112" spans="1:13" x14ac:dyDescent="0.3">
      <c r="A112" s="1" t="s">
        <v>169</v>
      </c>
      <c r="B112" s="2">
        <v>45002</v>
      </c>
      <c r="C112" s="1" t="s">
        <v>20</v>
      </c>
      <c r="D112" s="1" t="s">
        <v>21</v>
      </c>
      <c r="E112" s="1" t="s">
        <v>29</v>
      </c>
      <c r="F112" s="1" t="s">
        <v>13</v>
      </c>
      <c r="G112" s="1" t="s">
        <v>14</v>
      </c>
      <c r="H112">
        <v>2757</v>
      </c>
      <c r="I112">
        <v>1</v>
      </c>
      <c r="J112">
        <v>2023</v>
      </c>
      <c r="K112" s="1" t="s">
        <v>870</v>
      </c>
      <c r="L112">
        <v>3</v>
      </c>
      <c r="M112" s="1">
        <v>2757</v>
      </c>
    </row>
    <row r="113" spans="1:13" x14ac:dyDescent="0.3">
      <c r="A113" s="1" t="s">
        <v>170</v>
      </c>
      <c r="B113" s="2">
        <v>44965</v>
      </c>
      <c r="C113" s="1" t="s">
        <v>89</v>
      </c>
      <c r="D113" s="1" t="s">
        <v>90</v>
      </c>
      <c r="E113" s="1" t="s">
        <v>36</v>
      </c>
      <c r="F113" s="1" t="s">
        <v>13</v>
      </c>
      <c r="G113" s="1" t="s">
        <v>14</v>
      </c>
      <c r="H113">
        <v>1344</v>
      </c>
      <c r="I113">
        <v>1</v>
      </c>
      <c r="J113">
        <v>2023</v>
      </c>
      <c r="K113" s="1" t="s">
        <v>871</v>
      </c>
      <c r="L113">
        <v>2</v>
      </c>
      <c r="M113" s="1">
        <v>1344</v>
      </c>
    </row>
    <row r="114" spans="1:13" x14ac:dyDescent="0.3">
      <c r="A114" s="1" t="s">
        <v>171</v>
      </c>
      <c r="B114" s="2">
        <v>45208</v>
      </c>
      <c r="C114" s="1" t="s">
        <v>50</v>
      </c>
      <c r="D114" s="1" t="s">
        <v>51</v>
      </c>
      <c r="E114" s="1" t="s">
        <v>29</v>
      </c>
      <c r="F114" s="1" t="s">
        <v>18</v>
      </c>
      <c r="G114" s="1" t="s">
        <v>14</v>
      </c>
      <c r="H114">
        <v>12777</v>
      </c>
      <c r="I114">
        <v>3</v>
      </c>
      <c r="J114">
        <v>2023</v>
      </c>
      <c r="K114" s="1" t="s">
        <v>865</v>
      </c>
      <c r="L114">
        <v>10</v>
      </c>
      <c r="M114" s="1">
        <v>38331</v>
      </c>
    </row>
    <row r="115" spans="1:13" x14ac:dyDescent="0.3">
      <c r="A115" s="1" t="s">
        <v>172</v>
      </c>
      <c r="B115" s="2">
        <v>45147</v>
      </c>
      <c r="C115" s="1" t="s">
        <v>50</v>
      </c>
      <c r="D115" s="1" t="s">
        <v>51</v>
      </c>
      <c r="E115" s="1" t="s">
        <v>12</v>
      </c>
      <c r="F115" s="1" t="s">
        <v>22</v>
      </c>
      <c r="G115" s="1" t="s">
        <v>14</v>
      </c>
      <c r="H115">
        <v>12536</v>
      </c>
      <c r="I115">
        <v>8</v>
      </c>
      <c r="J115">
        <v>2023</v>
      </c>
      <c r="K115" s="1" t="s">
        <v>874</v>
      </c>
      <c r="L115">
        <v>8</v>
      </c>
      <c r="M115" s="1">
        <v>100288</v>
      </c>
    </row>
    <row r="116" spans="1:13" x14ac:dyDescent="0.3">
      <c r="A116" s="1" t="s">
        <v>173</v>
      </c>
      <c r="B116" s="2">
        <v>45035</v>
      </c>
      <c r="C116" s="1" t="s">
        <v>109</v>
      </c>
      <c r="D116" s="1" t="s">
        <v>110</v>
      </c>
      <c r="E116" s="1" t="s">
        <v>36</v>
      </c>
      <c r="F116" s="1" t="s">
        <v>18</v>
      </c>
      <c r="G116" s="1" t="s">
        <v>23</v>
      </c>
      <c r="H116">
        <v>30150</v>
      </c>
      <c r="I116">
        <v>9</v>
      </c>
      <c r="J116">
        <v>2023</v>
      </c>
      <c r="K116" s="1" t="s">
        <v>867</v>
      </c>
      <c r="L116">
        <v>4</v>
      </c>
      <c r="M116" s="1">
        <v>271350</v>
      </c>
    </row>
    <row r="117" spans="1:13" x14ac:dyDescent="0.3">
      <c r="A117" s="1" t="s">
        <v>174</v>
      </c>
      <c r="B117" s="2">
        <v>45078</v>
      </c>
      <c r="C117" s="1" t="s">
        <v>43</v>
      </c>
      <c r="D117" s="1" t="s">
        <v>44</v>
      </c>
      <c r="E117" s="1" t="s">
        <v>36</v>
      </c>
      <c r="F117" s="1" t="s">
        <v>18</v>
      </c>
      <c r="G117" s="1" t="s">
        <v>40</v>
      </c>
      <c r="H117">
        <v>4122</v>
      </c>
      <c r="I117">
        <v>1</v>
      </c>
      <c r="J117">
        <v>2023</v>
      </c>
      <c r="K117" s="1" t="s">
        <v>863</v>
      </c>
      <c r="L117">
        <v>6</v>
      </c>
      <c r="M117" s="1">
        <v>4122</v>
      </c>
    </row>
    <row r="118" spans="1:13" x14ac:dyDescent="0.3">
      <c r="A118" s="1" t="s">
        <v>175</v>
      </c>
      <c r="B118" s="2">
        <v>45181</v>
      </c>
      <c r="C118" s="1" t="s">
        <v>61</v>
      </c>
      <c r="D118" s="1" t="s">
        <v>62</v>
      </c>
      <c r="E118" s="1" t="s">
        <v>29</v>
      </c>
      <c r="F118" s="1" t="s">
        <v>18</v>
      </c>
      <c r="G118" s="1" t="s">
        <v>14</v>
      </c>
      <c r="H118">
        <v>16260</v>
      </c>
      <c r="I118">
        <v>5</v>
      </c>
      <c r="J118">
        <v>2023</v>
      </c>
      <c r="K118" s="1" t="s">
        <v>866</v>
      </c>
      <c r="L118">
        <v>9</v>
      </c>
      <c r="M118" s="1">
        <v>81300</v>
      </c>
    </row>
    <row r="119" spans="1:13" x14ac:dyDescent="0.3">
      <c r="A119" s="1" t="s">
        <v>176</v>
      </c>
      <c r="B119" s="2">
        <v>45000</v>
      </c>
      <c r="C119" s="1" t="s">
        <v>53</v>
      </c>
      <c r="D119" s="1" t="s">
        <v>54</v>
      </c>
      <c r="E119" s="1" t="s">
        <v>29</v>
      </c>
      <c r="F119" s="1" t="s">
        <v>22</v>
      </c>
      <c r="G119" s="1" t="s">
        <v>14</v>
      </c>
      <c r="H119">
        <v>16200</v>
      </c>
      <c r="I119">
        <v>6</v>
      </c>
      <c r="J119">
        <v>2023</v>
      </c>
      <c r="K119" s="1" t="s">
        <v>870</v>
      </c>
      <c r="L119">
        <v>3</v>
      </c>
      <c r="M119" s="1">
        <v>97200</v>
      </c>
    </row>
    <row r="120" spans="1:13" x14ac:dyDescent="0.3">
      <c r="A120" s="1" t="s">
        <v>177</v>
      </c>
      <c r="B120" s="2">
        <v>44963</v>
      </c>
      <c r="C120" s="1" t="s">
        <v>64</v>
      </c>
      <c r="D120" s="1" t="s">
        <v>65</v>
      </c>
      <c r="E120" s="1" t="s">
        <v>29</v>
      </c>
      <c r="F120" s="1" t="s">
        <v>25</v>
      </c>
      <c r="G120" s="1" t="s">
        <v>40</v>
      </c>
      <c r="H120">
        <v>12588</v>
      </c>
      <c r="I120">
        <v>4</v>
      </c>
      <c r="J120">
        <v>2023</v>
      </c>
      <c r="K120" s="1" t="s">
        <v>871</v>
      </c>
      <c r="L120">
        <v>2</v>
      </c>
      <c r="M120" s="1">
        <v>50352</v>
      </c>
    </row>
    <row r="121" spans="1:13" x14ac:dyDescent="0.3">
      <c r="A121" s="1" t="s">
        <v>178</v>
      </c>
      <c r="B121" s="2">
        <v>45013</v>
      </c>
      <c r="C121" s="1" t="s">
        <v>61</v>
      </c>
      <c r="D121" s="1" t="s">
        <v>62</v>
      </c>
      <c r="E121" s="1" t="s">
        <v>12</v>
      </c>
      <c r="F121" s="1" t="s">
        <v>25</v>
      </c>
      <c r="G121" s="1" t="s">
        <v>14</v>
      </c>
      <c r="H121">
        <v>11172</v>
      </c>
      <c r="I121">
        <v>3</v>
      </c>
      <c r="J121">
        <v>2023</v>
      </c>
      <c r="K121" s="1" t="s">
        <v>870</v>
      </c>
      <c r="L121">
        <v>3</v>
      </c>
      <c r="M121" s="1">
        <v>33516</v>
      </c>
    </row>
    <row r="122" spans="1:13" x14ac:dyDescent="0.3">
      <c r="A122" s="1" t="s">
        <v>179</v>
      </c>
      <c r="B122" s="2">
        <v>44951</v>
      </c>
      <c r="C122" s="1" t="s">
        <v>67</v>
      </c>
      <c r="D122" s="1" t="s">
        <v>68</v>
      </c>
      <c r="E122" s="1" t="s">
        <v>36</v>
      </c>
      <c r="F122" s="1" t="s">
        <v>25</v>
      </c>
      <c r="G122" s="1" t="s">
        <v>40</v>
      </c>
      <c r="H122">
        <v>4500</v>
      </c>
      <c r="I122">
        <v>2</v>
      </c>
      <c r="J122">
        <v>2023</v>
      </c>
      <c r="K122" s="1" t="s">
        <v>868</v>
      </c>
      <c r="L122">
        <v>1</v>
      </c>
      <c r="M122" s="1">
        <v>9000</v>
      </c>
    </row>
    <row r="123" spans="1:13" x14ac:dyDescent="0.3">
      <c r="A123" s="1" t="s">
        <v>180</v>
      </c>
      <c r="B123" s="2">
        <v>44935</v>
      </c>
      <c r="C123" s="1" t="s">
        <v>10</v>
      </c>
      <c r="D123" s="1" t="s">
        <v>11</v>
      </c>
      <c r="E123" s="1" t="s">
        <v>29</v>
      </c>
      <c r="F123" s="1" t="s">
        <v>18</v>
      </c>
      <c r="G123" s="1" t="s">
        <v>40</v>
      </c>
      <c r="H123">
        <v>35650</v>
      </c>
      <c r="I123">
        <v>10</v>
      </c>
      <c r="J123">
        <v>2023</v>
      </c>
      <c r="K123" s="1" t="s">
        <v>868</v>
      </c>
      <c r="L123">
        <v>1</v>
      </c>
      <c r="M123" s="1">
        <v>356500</v>
      </c>
    </row>
    <row r="124" spans="1:13" x14ac:dyDescent="0.3">
      <c r="A124" s="1" t="s">
        <v>181</v>
      </c>
      <c r="B124" s="2">
        <v>45227</v>
      </c>
      <c r="C124" s="1" t="s">
        <v>43</v>
      </c>
      <c r="D124" s="1" t="s">
        <v>44</v>
      </c>
      <c r="E124" s="1" t="s">
        <v>29</v>
      </c>
      <c r="F124" s="1" t="s">
        <v>25</v>
      </c>
      <c r="G124" s="1" t="s">
        <v>23</v>
      </c>
      <c r="H124">
        <v>15993</v>
      </c>
      <c r="I124">
        <v>9</v>
      </c>
      <c r="J124">
        <v>2023</v>
      </c>
      <c r="K124" s="1" t="s">
        <v>865</v>
      </c>
      <c r="L124">
        <v>10</v>
      </c>
      <c r="M124" s="1">
        <v>143937</v>
      </c>
    </row>
    <row r="125" spans="1:13" x14ac:dyDescent="0.3">
      <c r="A125" s="1" t="s">
        <v>182</v>
      </c>
      <c r="B125" s="2">
        <v>45237</v>
      </c>
      <c r="C125" s="1" t="s">
        <v>31</v>
      </c>
      <c r="D125" s="1" t="s">
        <v>32</v>
      </c>
      <c r="E125" s="1" t="s">
        <v>12</v>
      </c>
      <c r="F125" s="1" t="s">
        <v>18</v>
      </c>
      <c r="G125" s="1" t="s">
        <v>14</v>
      </c>
      <c r="H125">
        <v>12381</v>
      </c>
      <c r="I125">
        <v>3</v>
      </c>
      <c r="J125">
        <v>2023</v>
      </c>
      <c r="K125" s="1" t="s">
        <v>873</v>
      </c>
      <c r="L125">
        <v>11</v>
      </c>
      <c r="M125" s="1">
        <v>37143</v>
      </c>
    </row>
    <row r="126" spans="1:13" x14ac:dyDescent="0.3">
      <c r="A126" s="1" t="s">
        <v>183</v>
      </c>
      <c r="B126" s="2">
        <v>45273</v>
      </c>
      <c r="C126" s="1" t="s">
        <v>89</v>
      </c>
      <c r="D126" s="1" t="s">
        <v>90</v>
      </c>
      <c r="E126" s="1" t="s">
        <v>36</v>
      </c>
      <c r="F126" s="1" t="s">
        <v>18</v>
      </c>
      <c r="G126" s="1" t="s">
        <v>40</v>
      </c>
      <c r="H126">
        <v>34712</v>
      </c>
      <c r="I126">
        <v>8</v>
      </c>
      <c r="J126">
        <v>2023</v>
      </c>
      <c r="K126" s="1" t="s">
        <v>869</v>
      </c>
      <c r="L126">
        <v>12</v>
      </c>
      <c r="M126" s="1">
        <v>277696</v>
      </c>
    </row>
    <row r="127" spans="1:13" x14ac:dyDescent="0.3">
      <c r="A127" s="1" t="s">
        <v>184</v>
      </c>
      <c r="B127" s="2">
        <v>45198</v>
      </c>
      <c r="C127" s="1" t="s">
        <v>10</v>
      </c>
      <c r="D127" s="1" t="s">
        <v>11</v>
      </c>
      <c r="E127" s="1" t="s">
        <v>29</v>
      </c>
      <c r="F127" s="1" t="s">
        <v>18</v>
      </c>
      <c r="G127" s="1" t="s">
        <v>23</v>
      </c>
      <c r="H127">
        <v>45550</v>
      </c>
      <c r="I127">
        <v>10</v>
      </c>
      <c r="J127">
        <v>2023</v>
      </c>
      <c r="K127" s="1" t="s">
        <v>866</v>
      </c>
      <c r="L127">
        <v>9</v>
      </c>
      <c r="M127" s="1">
        <v>455500</v>
      </c>
    </row>
    <row r="128" spans="1:13" x14ac:dyDescent="0.3">
      <c r="A128" s="1" t="s">
        <v>185</v>
      </c>
      <c r="B128" s="2">
        <v>45084</v>
      </c>
      <c r="C128" s="1" t="s">
        <v>34</v>
      </c>
      <c r="D128" s="1" t="s">
        <v>35</v>
      </c>
      <c r="E128" s="1" t="s">
        <v>12</v>
      </c>
      <c r="F128" s="1" t="s">
        <v>13</v>
      </c>
      <c r="G128" s="1" t="s">
        <v>40</v>
      </c>
      <c r="H128">
        <v>3916</v>
      </c>
      <c r="I128">
        <v>4</v>
      </c>
      <c r="J128">
        <v>2023</v>
      </c>
      <c r="K128" s="1" t="s">
        <v>863</v>
      </c>
      <c r="L128">
        <v>6</v>
      </c>
      <c r="M128" s="1">
        <v>15664</v>
      </c>
    </row>
    <row r="129" spans="1:13" x14ac:dyDescent="0.3">
      <c r="A129" s="1" t="s">
        <v>186</v>
      </c>
      <c r="B129" s="2">
        <v>45271</v>
      </c>
      <c r="C129" s="1" t="s">
        <v>53</v>
      </c>
      <c r="D129" s="1" t="s">
        <v>54</v>
      </c>
      <c r="E129" s="1" t="s">
        <v>36</v>
      </c>
      <c r="F129" s="1" t="s">
        <v>22</v>
      </c>
      <c r="G129" s="1" t="s">
        <v>23</v>
      </c>
      <c r="H129">
        <v>2268</v>
      </c>
      <c r="I129">
        <v>2</v>
      </c>
      <c r="J129">
        <v>2023</v>
      </c>
      <c r="K129" s="1" t="s">
        <v>869</v>
      </c>
      <c r="L129">
        <v>12</v>
      </c>
      <c r="M129" s="1">
        <v>4536</v>
      </c>
    </row>
    <row r="130" spans="1:13" x14ac:dyDescent="0.3">
      <c r="A130" s="1" t="s">
        <v>187</v>
      </c>
      <c r="B130" s="2">
        <v>45262</v>
      </c>
      <c r="C130" s="1" t="s">
        <v>53</v>
      </c>
      <c r="D130" s="1" t="s">
        <v>54</v>
      </c>
      <c r="E130" s="1" t="s">
        <v>29</v>
      </c>
      <c r="F130" s="1" t="s">
        <v>18</v>
      </c>
      <c r="G130" s="1" t="s">
        <v>14</v>
      </c>
      <c r="H130">
        <v>1521</v>
      </c>
      <c r="I130">
        <v>1</v>
      </c>
      <c r="J130">
        <v>2023</v>
      </c>
      <c r="K130" s="1" t="s">
        <v>869</v>
      </c>
      <c r="L130">
        <v>12</v>
      </c>
      <c r="M130" s="1">
        <v>1521</v>
      </c>
    </row>
    <row r="131" spans="1:13" x14ac:dyDescent="0.3">
      <c r="A131" s="1" t="s">
        <v>188</v>
      </c>
      <c r="B131" s="2">
        <v>44932</v>
      </c>
      <c r="C131" s="1" t="s">
        <v>43</v>
      </c>
      <c r="D131" s="1" t="s">
        <v>44</v>
      </c>
      <c r="E131" s="1" t="s">
        <v>12</v>
      </c>
      <c r="F131" s="1" t="s">
        <v>22</v>
      </c>
      <c r="G131" s="1" t="s">
        <v>40</v>
      </c>
      <c r="H131">
        <v>5144</v>
      </c>
      <c r="I131">
        <v>4</v>
      </c>
      <c r="J131">
        <v>2023</v>
      </c>
      <c r="K131" s="1" t="s">
        <v>868</v>
      </c>
      <c r="L131">
        <v>1</v>
      </c>
      <c r="M131" s="1">
        <v>20576</v>
      </c>
    </row>
    <row r="132" spans="1:13" x14ac:dyDescent="0.3">
      <c r="A132" s="1" t="s">
        <v>189</v>
      </c>
      <c r="B132" s="2">
        <v>45001</v>
      </c>
      <c r="C132" s="1" t="s">
        <v>10</v>
      </c>
      <c r="D132" s="1" t="s">
        <v>11</v>
      </c>
      <c r="E132" s="1" t="s">
        <v>12</v>
      </c>
      <c r="F132" s="1" t="s">
        <v>22</v>
      </c>
      <c r="G132" s="1" t="s">
        <v>14</v>
      </c>
      <c r="H132">
        <v>6788</v>
      </c>
      <c r="I132">
        <v>2</v>
      </c>
      <c r="J132">
        <v>2023</v>
      </c>
      <c r="K132" s="1" t="s">
        <v>870</v>
      </c>
      <c r="L132">
        <v>3</v>
      </c>
      <c r="M132" s="1">
        <v>13576</v>
      </c>
    </row>
    <row r="133" spans="1:13" x14ac:dyDescent="0.3">
      <c r="A133" s="1" t="s">
        <v>190</v>
      </c>
      <c r="B133" s="2">
        <v>45050</v>
      </c>
      <c r="C133" s="1" t="s">
        <v>34</v>
      </c>
      <c r="D133" s="1" t="s">
        <v>35</v>
      </c>
      <c r="E133" s="1" t="s">
        <v>36</v>
      </c>
      <c r="F133" s="1" t="s">
        <v>22</v>
      </c>
      <c r="G133" s="1" t="s">
        <v>23</v>
      </c>
      <c r="H133">
        <v>48980</v>
      </c>
      <c r="I133">
        <v>10</v>
      </c>
      <c r="J133">
        <v>2023</v>
      </c>
      <c r="K133" s="1" t="s">
        <v>872</v>
      </c>
      <c r="L133">
        <v>5</v>
      </c>
      <c r="M133" s="1">
        <v>489800</v>
      </c>
    </row>
    <row r="134" spans="1:13" x14ac:dyDescent="0.3">
      <c r="A134" s="1" t="s">
        <v>191</v>
      </c>
      <c r="B134" s="2">
        <v>45124</v>
      </c>
      <c r="C134" s="1" t="s">
        <v>50</v>
      </c>
      <c r="D134" s="1" t="s">
        <v>51</v>
      </c>
      <c r="E134" s="1" t="s">
        <v>12</v>
      </c>
      <c r="F134" s="1" t="s">
        <v>13</v>
      </c>
      <c r="G134" s="1" t="s">
        <v>14</v>
      </c>
      <c r="H134">
        <v>12212</v>
      </c>
      <c r="I134">
        <v>4</v>
      </c>
      <c r="J134">
        <v>2023</v>
      </c>
      <c r="K134" s="1" t="s">
        <v>864</v>
      </c>
      <c r="L134">
        <v>7</v>
      </c>
      <c r="M134" s="1">
        <v>48848</v>
      </c>
    </row>
    <row r="135" spans="1:13" x14ac:dyDescent="0.3">
      <c r="A135" s="1" t="s">
        <v>192</v>
      </c>
      <c r="B135" s="2">
        <v>45128</v>
      </c>
      <c r="C135" s="1" t="s">
        <v>34</v>
      </c>
      <c r="D135" s="1" t="s">
        <v>35</v>
      </c>
      <c r="E135" s="1" t="s">
        <v>12</v>
      </c>
      <c r="F135" s="1" t="s">
        <v>13</v>
      </c>
      <c r="G135" s="1" t="s">
        <v>40</v>
      </c>
      <c r="H135">
        <v>23555</v>
      </c>
      <c r="I135">
        <v>5</v>
      </c>
      <c r="J135">
        <v>2023</v>
      </c>
      <c r="K135" s="1" t="s">
        <v>864</v>
      </c>
      <c r="L135">
        <v>7</v>
      </c>
      <c r="M135" s="1">
        <v>117775</v>
      </c>
    </row>
    <row r="136" spans="1:13" x14ac:dyDescent="0.3">
      <c r="A136" s="1" t="s">
        <v>193</v>
      </c>
      <c r="B136" s="2">
        <v>45090</v>
      </c>
      <c r="C136" s="1" t="s">
        <v>109</v>
      </c>
      <c r="D136" s="1" t="s">
        <v>110</v>
      </c>
      <c r="E136" s="1" t="s">
        <v>36</v>
      </c>
      <c r="F136" s="1" t="s">
        <v>18</v>
      </c>
      <c r="G136" s="1" t="s">
        <v>14</v>
      </c>
      <c r="H136">
        <v>25776</v>
      </c>
      <c r="I136">
        <v>8</v>
      </c>
      <c r="J136">
        <v>2023</v>
      </c>
      <c r="K136" s="1" t="s">
        <v>863</v>
      </c>
      <c r="L136">
        <v>6</v>
      </c>
      <c r="M136" s="1">
        <v>206208</v>
      </c>
    </row>
    <row r="137" spans="1:13" x14ac:dyDescent="0.3">
      <c r="A137" s="1" t="s">
        <v>194</v>
      </c>
      <c r="B137" s="2">
        <v>45143</v>
      </c>
      <c r="C137" s="1" t="s">
        <v>77</v>
      </c>
      <c r="D137" s="1" t="s">
        <v>78</v>
      </c>
      <c r="E137" s="1" t="s">
        <v>12</v>
      </c>
      <c r="F137" s="1" t="s">
        <v>25</v>
      </c>
      <c r="G137" s="1" t="s">
        <v>40</v>
      </c>
      <c r="H137">
        <v>13062</v>
      </c>
      <c r="I137">
        <v>3</v>
      </c>
      <c r="J137">
        <v>2023</v>
      </c>
      <c r="K137" s="1" t="s">
        <v>874</v>
      </c>
      <c r="L137">
        <v>8</v>
      </c>
      <c r="M137" s="1">
        <v>39186</v>
      </c>
    </row>
    <row r="138" spans="1:13" x14ac:dyDescent="0.3">
      <c r="A138" s="1" t="s">
        <v>195</v>
      </c>
      <c r="B138" s="2">
        <v>45273</v>
      </c>
      <c r="C138" s="1" t="s">
        <v>20</v>
      </c>
      <c r="D138" s="1" t="s">
        <v>21</v>
      </c>
      <c r="E138" s="1" t="s">
        <v>12</v>
      </c>
      <c r="F138" s="1" t="s">
        <v>13</v>
      </c>
      <c r="G138" s="1" t="s">
        <v>14</v>
      </c>
      <c r="H138">
        <v>1986</v>
      </c>
      <c r="I138">
        <v>2</v>
      </c>
      <c r="J138">
        <v>2023</v>
      </c>
      <c r="K138" s="1" t="s">
        <v>869</v>
      </c>
      <c r="L138">
        <v>12</v>
      </c>
      <c r="M138" s="1">
        <v>3972</v>
      </c>
    </row>
    <row r="139" spans="1:13" x14ac:dyDescent="0.3">
      <c r="A139" s="1" t="s">
        <v>196</v>
      </c>
      <c r="B139" s="2">
        <v>45278</v>
      </c>
      <c r="C139" s="1" t="s">
        <v>109</v>
      </c>
      <c r="D139" s="1" t="s">
        <v>110</v>
      </c>
      <c r="E139" s="1" t="s">
        <v>12</v>
      </c>
      <c r="F139" s="1" t="s">
        <v>25</v>
      </c>
      <c r="G139" s="1" t="s">
        <v>40</v>
      </c>
      <c r="H139">
        <v>22260</v>
      </c>
      <c r="I139">
        <v>5</v>
      </c>
      <c r="J139">
        <v>2023</v>
      </c>
      <c r="K139" s="1" t="s">
        <v>869</v>
      </c>
      <c r="L139">
        <v>12</v>
      </c>
      <c r="M139" s="1">
        <v>111300</v>
      </c>
    </row>
    <row r="140" spans="1:13" x14ac:dyDescent="0.3">
      <c r="A140" s="1" t="s">
        <v>197</v>
      </c>
      <c r="B140" s="2">
        <v>44952</v>
      </c>
      <c r="C140" s="1" t="s">
        <v>27</v>
      </c>
      <c r="D140" s="1" t="s">
        <v>28</v>
      </c>
      <c r="E140" s="1" t="s">
        <v>12</v>
      </c>
      <c r="F140" s="1" t="s">
        <v>13</v>
      </c>
      <c r="G140" s="1" t="s">
        <v>40</v>
      </c>
      <c r="H140">
        <v>32265</v>
      </c>
      <c r="I140">
        <v>9</v>
      </c>
      <c r="J140">
        <v>2023</v>
      </c>
      <c r="K140" s="1" t="s">
        <v>868</v>
      </c>
      <c r="L140">
        <v>1</v>
      </c>
      <c r="M140" s="1">
        <v>290385</v>
      </c>
    </row>
    <row r="141" spans="1:13" x14ac:dyDescent="0.3">
      <c r="A141" s="1" t="s">
        <v>198</v>
      </c>
      <c r="B141" s="2">
        <v>45121</v>
      </c>
      <c r="C141" s="1" t="s">
        <v>16</v>
      </c>
      <c r="D141" s="1" t="s">
        <v>17</v>
      </c>
      <c r="E141" s="1" t="s">
        <v>29</v>
      </c>
      <c r="F141" s="1" t="s">
        <v>13</v>
      </c>
      <c r="G141" s="1" t="s">
        <v>23</v>
      </c>
      <c r="H141">
        <v>9835</v>
      </c>
      <c r="I141">
        <v>7</v>
      </c>
      <c r="J141">
        <v>2023</v>
      </c>
      <c r="K141" s="1" t="s">
        <v>864</v>
      </c>
      <c r="L141">
        <v>7</v>
      </c>
      <c r="M141" s="1">
        <v>68845</v>
      </c>
    </row>
    <row r="142" spans="1:13" x14ac:dyDescent="0.3">
      <c r="A142" s="1" t="s">
        <v>199</v>
      </c>
      <c r="B142" s="2">
        <v>44939</v>
      </c>
      <c r="C142" s="1" t="s">
        <v>43</v>
      </c>
      <c r="D142" s="1" t="s">
        <v>44</v>
      </c>
      <c r="E142" s="1" t="s">
        <v>12</v>
      </c>
      <c r="F142" s="1" t="s">
        <v>18</v>
      </c>
      <c r="G142" s="1" t="s">
        <v>23</v>
      </c>
      <c r="H142">
        <v>14440</v>
      </c>
      <c r="I142">
        <v>8</v>
      </c>
      <c r="J142">
        <v>2023</v>
      </c>
      <c r="K142" s="1" t="s">
        <v>868</v>
      </c>
      <c r="L142">
        <v>1</v>
      </c>
      <c r="M142" s="1">
        <v>115520</v>
      </c>
    </row>
    <row r="143" spans="1:13" x14ac:dyDescent="0.3">
      <c r="A143" s="1" t="s">
        <v>200</v>
      </c>
      <c r="B143" s="2">
        <v>45013</v>
      </c>
      <c r="C143" s="1" t="s">
        <v>50</v>
      </c>
      <c r="D143" s="1" t="s">
        <v>51</v>
      </c>
      <c r="E143" s="1" t="s">
        <v>12</v>
      </c>
      <c r="F143" s="1" t="s">
        <v>22</v>
      </c>
      <c r="G143" s="1" t="s">
        <v>40</v>
      </c>
      <c r="H143">
        <v>26568</v>
      </c>
      <c r="I143">
        <v>6</v>
      </c>
      <c r="J143">
        <v>2023</v>
      </c>
      <c r="K143" s="1" t="s">
        <v>870</v>
      </c>
      <c r="L143">
        <v>3</v>
      </c>
      <c r="M143" s="1">
        <v>159408</v>
      </c>
    </row>
    <row r="144" spans="1:13" x14ac:dyDescent="0.3">
      <c r="A144" s="1" t="s">
        <v>201</v>
      </c>
      <c r="B144" s="2">
        <v>45225</v>
      </c>
      <c r="C144" s="1" t="s">
        <v>38</v>
      </c>
      <c r="D144" s="1" t="s">
        <v>39</v>
      </c>
      <c r="E144" s="1" t="s">
        <v>36</v>
      </c>
      <c r="F144" s="1" t="s">
        <v>25</v>
      </c>
      <c r="G144" s="1" t="s">
        <v>40</v>
      </c>
      <c r="H144">
        <v>23478</v>
      </c>
      <c r="I144">
        <v>6</v>
      </c>
      <c r="J144">
        <v>2023</v>
      </c>
      <c r="K144" s="1" t="s">
        <v>865</v>
      </c>
      <c r="L144">
        <v>10</v>
      </c>
      <c r="M144" s="1">
        <v>140868</v>
      </c>
    </row>
    <row r="145" spans="1:13" x14ac:dyDescent="0.3">
      <c r="A145" s="1" t="s">
        <v>202</v>
      </c>
      <c r="B145" s="2">
        <v>45089</v>
      </c>
      <c r="C145" s="1" t="s">
        <v>137</v>
      </c>
      <c r="D145" s="1" t="s">
        <v>138</v>
      </c>
      <c r="E145" s="1" t="s">
        <v>29</v>
      </c>
      <c r="F145" s="1" t="s">
        <v>13</v>
      </c>
      <c r="G145" s="1" t="s">
        <v>40</v>
      </c>
      <c r="H145">
        <v>860</v>
      </c>
      <c r="I145">
        <v>1</v>
      </c>
      <c r="J145">
        <v>2023</v>
      </c>
      <c r="K145" s="1" t="s">
        <v>863</v>
      </c>
      <c r="L145">
        <v>6</v>
      </c>
      <c r="M145" s="1">
        <v>860</v>
      </c>
    </row>
    <row r="146" spans="1:13" x14ac:dyDescent="0.3">
      <c r="A146" s="1" t="s">
        <v>203</v>
      </c>
      <c r="B146" s="2">
        <v>44980</v>
      </c>
      <c r="C146" s="1" t="s">
        <v>67</v>
      </c>
      <c r="D146" s="1" t="s">
        <v>68</v>
      </c>
      <c r="E146" s="1" t="s">
        <v>36</v>
      </c>
      <c r="F146" s="1" t="s">
        <v>13</v>
      </c>
      <c r="G146" s="1" t="s">
        <v>40</v>
      </c>
      <c r="H146">
        <v>12510</v>
      </c>
      <c r="I146">
        <v>10</v>
      </c>
      <c r="J146">
        <v>2023</v>
      </c>
      <c r="K146" s="1" t="s">
        <v>871</v>
      </c>
      <c r="L146">
        <v>2</v>
      </c>
      <c r="M146" s="1">
        <v>125100</v>
      </c>
    </row>
    <row r="147" spans="1:13" x14ac:dyDescent="0.3">
      <c r="A147" s="1" t="s">
        <v>204</v>
      </c>
      <c r="B147" s="2">
        <v>45173</v>
      </c>
      <c r="C147" s="1" t="s">
        <v>31</v>
      </c>
      <c r="D147" s="1" t="s">
        <v>32</v>
      </c>
      <c r="E147" s="1" t="s">
        <v>29</v>
      </c>
      <c r="F147" s="1" t="s">
        <v>25</v>
      </c>
      <c r="G147" s="1" t="s">
        <v>14</v>
      </c>
      <c r="H147">
        <v>3984</v>
      </c>
      <c r="I147">
        <v>4</v>
      </c>
      <c r="J147">
        <v>2023</v>
      </c>
      <c r="K147" s="1" t="s">
        <v>866</v>
      </c>
      <c r="L147">
        <v>9</v>
      </c>
      <c r="M147" s="1">
        <v>15936</v>
      </c>
    </row>
    <row r="148" spans="1:13" x14ac:dyDescent="0.3">
      <c r="A148" s="1" t="s">
        <v>205</v>
      </c>
      <c r="B148" s="2">
        <v>45211</v>
      </c>
      <c r="C148" s="1" t="s">
        <v>77</v>
      </c>
      <c r="D148" s="1" t="s">
        <v>78</v>
      </c>
      <c r="E148" s="1" t="s">
        <v>29</v>
      </c>
      <c r="F148" s="1" t="s">
        <v>25</v>
      </c>
      <c r="G148" s="1" t="s">
        <v>14</v>
      </c>
      <c r="H148">
        <v>8830</v>
      </c>
      <c r="I148">
        <v>5</v>
      </c>
      <c r="J148">
        <v>2023</v>
      </c>
      <c r="K148" s="1" t="s">
        <v>865</v>
      </c>
      <c r="L148">
        <v>10</v>
      </c>
      <c r="M148" s="1">
        <v>44150</v>
      </c>
    </row>
    <row r="149" spans="1:13" x14ac:dyDescent="0.3">
      <c r="A149" s="1" t="s">
        <v>206</v>
      </c>
      <c r="B149" s="2">
        <v>45253</v>
      </c>
      <c r="C149" s="1" t="s">
        <v>53</v>
      </c>
      <c r="D149" s="1" t="s">
        <v>54</v>
      </c>
      <c r="E149" s="1" t="s">
        <v>36</v>
      </c>
      <c r="F149" s="1" t="s">
        <v>22</v>
      </c>
      <c r="G149" s="1" t="s">
        <v>40</v>
      </c>
      <c r="H149">
        <v>22239</v>
      </c>
      <c r="I149">
        <v>9</v>
      </c>
      <c r="J149">
        <v>2023</v>
      </c>
      <c r="K149" s="1" t="s">
        <v>873</v>
      </c>
      <c r="L149">
        <v>11</v>
      </c>
      <c r="M149" s="1">
        <v>200151</v>
      </c>
    </row>
    <row r="150" spans="1:13" x14ac:dyDescent="0.3">
      <c r="A150" s="1" t="s">
        <v>207</v>
      </c>
      <c r="B150" s="2">
        <v>45061</v>
      </c>
      <c r="C150" s="1" t="s">
        <v>67</v>
      </c>
      <c r="D150" s="1" t="s">
        <v>68</v>
      </c>
      <c r="E150" s="1" t="s">
        <v>12</v>
      </c>
      <c r="F150" s="1" t="s">
        <v>18</v>
      </c>
      <c r="G150" s="1" t="s">
        <v>23</v>
      </c>
      <c r="H150">
        <v>6198</v>
      </c>
      <c r="I150">
        <v>6</v>
      </c>
      <c r="J150">
        <v>2023</v>
      </c>
      <c r="K150" s="1" t="s">
        <v>872</v>
      </c>
      <c r="L150">
        <v>5</v>
      </c>
      <c r="M150" s="1">
        <v>37188</v>
      </c>
    </row>
    <row r="151" spans="1:13" x14ac:dyDescent="0.3">
      <c r="A151" s="1" t="s">
        <v>208</v>
      </c>
      <c r="B151" s="2">
        <v>45231</v>
      </c>
      <c r="C151" s="1" t="s">
        <v>50</v>
      </c>
      <c r="D151" s="1" t="s">
        <v>51</v>
      </c>
      <c r="E151" s="1" t="s">
        <v>29</v>
      </c>
      <c r="F151" s="1" t="s">
        <v>25</v>
      </c>
      <c r="G151" s="1" t="s">
        <v>14</v>
      </c>
      <c r="H151">
        <v>24100</v>
      </c>
      <c r="I151">
        <v>5</v>
      </c>
      <c r="J151">
        <v>2023</v>
      </c>
      <c r="K151" s="1" t="s">
        <v>873</v>
      </c>
      <c r="L151">
        <v>11</v>
      </c>
      <c r="M151" s="1">
        <v>120500</v>
      </c>
    </row>
    <row r="152" spans="1:13" x14ac:dyDescent="0.3">
      <c r="A152" s="1" t="s">
        <v>209</v>
      </c>
      <c r="B152" s="2">
        <v>45064</v>
      </c>
      <c r="C152" s="1" t="s">
        <v>64</v>
      </c>
      <c r="D152" s="1" t="s">
        <v>65</v>
      </c>
      <c r="E152" s="1" t="s">
        <v>36</v>
      </c>
      <c r="F152" s="1" t="s">
        <v>25</v>
      </c>
      <c r="G152" s="1" t="s">
        <v>23</v>
      </c>
      <c r="H152">
        <v>11104</v>
      </c>
      <c r="I152">
        <v>8</v>
      </c>
      <c r="J152">
        <v>2023</v>
      </c>
      <c r="K152" s="1" t="s">
        <v>872</v>
      </c>
      <c r="L152">
        <v>5</v>
      </c>
      <c r="M152" s="1">
        <v>88832</v>
      </c>
    </row>
    <row r="153" spans="1:13" x14ac:dyDescent="0.3">
      <c r="A153" s="1" t="s">
        <v>210</v>
      </c>
      <c r="B153" s="2">
        <v>45144</v>
      </c>
      <c r="C153" s="1" t="s">
        <v>53</v>
      </c>
      <c r="D153" s="1" t="s">
        <v>54</v>
      </c>
      <c r="E153" s="1" t="s">
        <v>36</v>
      </c>
      <c r="F153" s="1" t="s">
        <v>22</v>
      </c>
      <c r="G153" s="1" t="s">
        <v>14</v>
      </c>
      <c r="H153">
        <v>14736</v>
      </c>
      <c r="I153">
        <v>6</v>
      </c>
      <c r="J153">
        <v>2023</v>
      </c>
      <c r="K153" s="1" t="s">
        <v>874</v>
      </c>
      <c r="L153">
        <v>8</v>
      </c>
      <c r="M153" s="1">
        <v>88416</v>
      </c>
    </row>
    <row r="154" spans="1:13" x14ac:dyDescent="0.3">
      <c r="A154" s="1" t="s">
        <v>211</v>
      </c>
      <c r="B154" s="2">
        <v>45259</v>
      </c>
      <c r="C154" s="1" t="s">
        <v>89</v>
      </c>
      <c r="D154" s="1" t="s">
        <v>90</v>
      </c>
      <c r="E154" s="1" t="s">
        <v>36</v>
      </c>
      <c r="F154" s="1" t="s">
        <v>25</v>
      </c>
      <c r="G154" s="1" t="s">
        <v>23</v>
      </c>
      <c r="H154">
        <v>9330</v>
      </c>
      <c r="I154">
        <v>6</v>
      </c>
      <c r="J154">
        <v>2023</v>
      </c>
      <c r="K154" s="1" t="s">
        <v>873</v>
      </c>
      <c r="L154">
        <v>11</v>
      </c>
      <c r="M154" s="1">
        <v>55980</v>
      </c>
    </row>
    <row r="155" spans="1:13" x14ac:dyDescent="0.3">
      <c r="A155" s="1" t="s">
        <v>212</v>
      </c>
      <c r="B155" s="2">
        <v>45149</v>
      </c>
      <c r="C155" s="1" t="s">
        <v>16</v>
      </c>
      <c r="D155" s="1" t="s">
        <v>17</v>
      </c>
      <c r="E155" s="1" t="s">
        <v>12</v>
      </c>
      <c r="F155" s="1" t="s">
        <v>25</v>
      </c>
      <c r="G155" s="1" t="s">
        <v>23</v>
      </c>
      <c r="H155">
        <v>4735</v>
      </c>
      <c r="I155">
        <v>1</v>
      </c>
      <c r="J155">
        <v>2023</v>
      </c>
      <c r="K155" s="1" t="s">
        <v>874</v>
      </c>
      <c r="L155">
        <v>8</v>
      </c>
      <c r="M155" s="1">
        <v>4735</v>
      </c>
    </row>
    <row r="156" spans="1:13" x14ac:dyDescent="0.3">
      <c r="A156" s="1" t="s">
        <v>213</v>
      </c>
      <c r="B156" s="2">
        <v>45239</v>
      </c>
      <c r="C156" s="1" t="s">
        <v>89</v>
      </c>
      <c r="D156" s="1" t="s">
        <v>90</v>
      </c>
      <c r="E156" s="1" t="s">
        <v>29</v>
      </c>
      <c r="F156" s="1" t="s">
        <v>13</v>
      </c>
      <c r="G156" s="1" t="s">
        <v>14</v>
      </c>
      <c r="H156">
        <v>4576</v>
      </c>
      <c r="I156">
        <v>1</v>
      </c>
      <c r="J156">
        <v>2023</v>
      </c>
      <c r="K156" s="1" t="s">
        <v>873</v>
      </c>
      <c r="L156">
        <v>11</v>
      </c>
      <c r="M156" s="1">
        <v>4576</v>
      </c>
    </row>
    <row r="157" spans="1:13" x14ac:dyDescent="0.3">
      <c r="A157" s="1" t="s">
        <v>214</v>
      </c>
      <c r="B157" s="2">
        <v>45188</v>
      </c>
      <c r="C157" s="1" t="s">
        <v>109</v>
      </c>
      <c r="D157" s="1" t="s">
        <v>110</v>
      </c>
      <c r="E157" s="1" t="s">
        <v>29</v>
      </c>
      <c r="F157" s="1" t="s">
        <v>13</v>
      </c>
      <c r="G157" s="1" t="s">
        <v>14</v>
      </c>
      <c r="H157">
        <v>8730</v>
      </c>
      <c r="I157">
        <v>2</v>
      </c>
      <c r="J157">
        <v>2023</v>
      </c>
      <c r="K157" s="1" t="s">
        <v>866</v>
      </c>
      <c r="L157">
        <v>9</v>
      </c>
      <c r="M157" s="1">
        <v>17460</v>
      </c>
    </row>
    <row r="158" spans="1:13" x14ac:dyDescent="0.3">
      <c r="A158" s="1" t="s">
        <v>215</v>
      </c>
      <c r="B158" s="2">
        <v>45255</v>
      </c>
      <c r="C158" s="1" t="s">
        <v>50</v>
      </c>
      <c r="D158" s="1" t="s">
        <v>51</v>
      </c>
      <c r="E158" s="1" t="s">
        <v>12</v>
      </c>
      <c r="F158" s="1" t="s">
        <v>22</v>
      </c>
      <c r="G158" s="1" t="s">
        <v>23</v>
      </c>
      <c r="H158">
        <v>21504</v>
      </c>
      <c r="I158">
        <v>8</v>
      </c>
      <c r="J158">
        <v>2023</v>
      </c>
      <c r="K158" s="1" t="s">
        <v>873</v>
      </c>
      <c r="L158">
        <v>11</v>
      </c>
      <c r="M158" s="1">
        <v>172032</v>
      </c>
    </row>
    <row r="159" spans="1:13" x14ac:dyDescent="0.3">
      <c r="A159" s="1" t="s">
        <v>216</v>
      </c>
      <c r="B159" s="2">
        <v>44937</v>
      </c>
      <c r="C159" s="1" t="s">
        <v>123</v>
      </c>
      <c r="D159" s="1" t="s">
        <v>124</v>
      </c>
      <c r="E159" s="1" t="s">
        <v>29</v>
      </c>
      <c r="F159" s="1" t="s">
        <v>22</v>
      </c>
      <c r="G159" s="1" t="s">
        <v>40</v>
      </c>
      <c r="H159">
        <v>9681</v>
      </c>
      <c r="I159">
        <v>3</v>
      </c>
      <c r="J159">
        <v>2023</v>
      </c>
      <c r="K159" s="1" t="s">
        <v>868</v>
      </c>
      <c r="L159">
        <v>1</v>
      </c>
      <c r="M159" s="1">
        <v>29043</v>
      </c>
    </row>
    <row r="160" spans="1:13" x14ac:dyDescent="0.3">
      <c r="A160" s="1" t="s">
        <v>217</v>
      </c>
      <c r="B160" s="2">
        <v>45061</v>
      </c>
      <c r="C160" s="1" t="s">
        <v>67</v>
      </c>
      <c r="D160" s="1" t="s">
        <v>68</v>
      </c>
      <c r="E160" s="1" t="s">
        <v>36</v>
      </c>
      <c r="F160" s="1" t="s">
        <v>25</v>
      </c>
      <c r="G160" s="1" t="s">
        <v>23</v>
      </c>
      <c r="H160">
        <v>27062</v>
      </c>
      <c r="I160">
        <v>7</v>
      </c>
      <c r="J160">
        <v>2023</v>
      </c>
      <c r="K160" s="1" t="s">
        <v>872</v>
      </c>
      <c r="L160">
        <v>5</v>
      </c>
      <c r="M160" s="1">
        <v>189434</v>
      </c>
    </row>
    <row r="161" spans="1:13" x14ac:dyDescent="0.3">
      <c r="A161" s="1" t="s">
        <v>218</v>
      </c>
      <c r="B161" s="2">
        <v>45228</v>
      </c>
      <c r="C161" s="1" t="s">
        <v>61</v>
      </c>
      <c r="D161" s="1" t="s">
        <v>62</v>
      </c>
      <c r="E161" s="1" t="s">
        <v>29</v>
      </c>
      <c r="F161" s="1" t="s">
        <v>22</v>
      </c>
      <c r="G161" s="1" t="s">
        <v>14</v>
      </c>
      <c r="H161">
        <v>26890</v>
      </c>
      <c r="I161">
        <v>10</v>
      </c>
      <c r="J161">
        <v>2023</v>
      </c>
      <c r="K161" s="1" t="s">
        <v>865</v>
      </c>
      <c r="L161">
        <v>10</v>
      </c>
      <c r="M161" s="1">
        <v>268900</v>
      </c>
    </row>
    <row r="162" spans="1:13" x14ac:dyDescent="0.3">
      <c r="A162" s="1" t="s">
        <v>219</v>
      </c>
      <c r="B162" s="2">
        <v>45155</v>
      </c>
      <c r="C162" s="1" t="s">
        <v>34</v>
      </c>
      <c r="D162" s="1" t="s">
        <v>35</v>
      </c>
      <c r="E162" s="1" t="s">
        <v>12</v>
      </c>
      <c r="F162" s="1" t="s">
        <v>22</v>
      </c>
      <c r="G162" s="1" t="s">
        <v>14</v>
      </c>
      <c r="H162">
        <v>6342</v>
      </c>
      <c r="I162">
        <v>3</v>
      </c>
      <c r="J162">
        <v>2023</v>
      </c>
      <c r="K162" s="1" t="s">
        <v>874</v>
      </c>
      <c r="L162">
        <v>8</v>
      </c>
      <c r="M162" s="1">
        <v>19026</v>
      </c>
    </row>
    <row r="163" spans="1:13" x14ac:dyDescent="0.3">
      <c r="A163" s="1" t="s">
        <v>220</v>
      </c>
      <c r="B163" s="2">
        <v>45183</v>
      </c>
      <c r="C163" s="1" t="s">
        <v>34</v>
      </c>
      <c r="D163" s="1" t="s">
        <v>35</v>
      </c>
      <c r="E163" s="1" t="s">
        <v>36</v>
      </c>
      <c r="F163" s="1" t="s">
        <v>25</v>
      </c>
      <c r="G163" s="1" t="s">
        <v>14</v>
      </c>
      <c r="H163">
        <v>31552</v>
      </c>
      <c r="I163">
        <v>8</v>
      </c>
      <c r="J163">
        <v>2023</v>
      </c>
      <c r="K163" s="1" t="s">
        <v>866</v>
      </c>
      <c r="L163">
        <v>9</v>
      </c>
      <c r="M163" s="1">
        <v>252416</v>
      </c>
    </row>
    <row r="164" spans="1:13" x14ac:dyDescent="0.3">
      <c r="A164" s="1" t="s">
        <v>221</v>
      </c>
      <c r="B164" s="2">
        <v>44971</v>
      </c>
      <c r="C164" s="1" t="s">
        <v>31</v>
      </c>
      <c r="D164" s="1" t="s">
        <v>32</v>
      </c>
      <c r="E164" s="1" t="s">
        <v>36</v>
      </c>
      <c r="F164" s="1" t="s">
        <v>22</v>
      </c>
      <c r="G164" s="1" t="s">
        <v>14</v>
      </c>
      <c r="H164">
        <v>18625</v>
      </c>
      <c r="I164">
        <v>5</v>
      </c>
      <c r="J164">
        <v>2023</v>
      </c>
      <c r="K164" s="1" t="s">
        <v>871</v>
      </c>
      <c r="L164">
        <v>2</v>
      </c>
      <c r="M164" s="1">
        <v>93125</v>
      </c>
    </row>
    <row r="165" spans="1:13" x14ac:dyDescent="0.3">
      <c r="A165" s="1" t="s">
        <v>222</v>
      </c>
      <c r="B165" s="2">
        <v>45248</v>
      </c>
      <c r="C165" s="1" t="s">
        <v>27</v>
      </c>
      <c r="D165" s="1" t="s">
        <v>28</v>
      </c>
      <c r="E165" s="1" t="s">
        <v>36</v>
      </c>
      <c r="F165" s="1" t="s">
        <v>18</v>
      </c>
      <c r="G165" s="1" t="s">
        <v>14</v>
      </c>
      <c r="H165">
        <v>4358</v>
      </c>
      <c r="I165">
        <v>1</v>
      </c>
      <c r="J165">
        <v>2023</v>
      </c>
      <c r="K165" s="1" t="s">
        <v>873</v>
      </c>
      <c r="L165">
        <v>11</v>
      </c>
      <c r="M165" s="1">
        <v>4358</v>
      </c>
    </row>
    <row r="166" spans="1:13" x14ac:dyDescent="0.3">
      <c r="A166" s="1" t="s">
        <v>223</v>
      </c>
      <c r="B166" s="2">
        <v>45117</v>
      </c>
      <c r="C166" s="1" t="s">
        <v>77</v>
      </c>
      <c r="D166" s="1" t="s">
        <v>78</v>
      </c>
      <c r="E166" s="1" t="s">
        <v>12</v>
      </c>
      <c r="F166" s="1" t="s">
        <v>25</v>
      </c>
      <c r="G166" s="1" t="s">
        <v>14</v>
      </c>
      <c r="H166">
        <v>5145</v>
      </c>
      <c r="I166">
        <v>3</v>
      </c>
      <c r="J166">
        <v>2023</v>
      </c>
      <c r="K166" s="1" t="s">
        <v>864</v>
      </c>
      <c r="L166">
        <v>7</v>
      </c>
      <c r="M166" s="1">
        <v>15435</v>
      </c>
    </row>
    <row r="167" spans="1:13" x14ac:dyDescent="0.3">
      <c r="A167" s="1" t="s">
        <v>224</v>
      </c>
      <c r="B167" s="2">
        <v>45001</v>
      </c>
      <c r="C167" s="1" t="s">
        <v>16</v>
      </c>
      <c r="D167" s="1" t="s">
        <v>17</v>
      </c>
      <c r="E167" s="1" t="s">
        <v>29</v>
      </c>
      <c r="F167" s="1" t="s">
        <v>13</v>
      </c>
      <c r="G167" s="1" t="s">
        <v>40</v>
      </c>
      <c r="H167">
        <v>18672</v>
      </c>
      <c r="I167">
        <v>8</v>
      </c>
      <c r="J167">
        <v>2023</v>
      </c>
      <c r="K167" s="1" t="s">
        <v>870</v>
      </c>
      <c r="L167">
        <v>3</v>
      </c>
      <c r="M167" s="1">
        <v>149376</v>
      </c>
    </row>
    <row r="168" spans="1:13" x14ac:dyDescent="0.3">
      <c r="A168" s="1" t="s">
        <v>225</v>
      </c>
      <c r="B168" s="2">
        <v>45029</v>
      </c>
      <c r="C168" s="1" t="s">
        <v>43</v>
      </c>
      <c r="D168" s="1" t="s">
        <v>44</v>
      </c>
      <c r="E168" s="1" t="s">
        <v>12</v>
      </c>
      <c r="F168" s="1" t="s">
        <v>18</v>
      </c>
      <c r="G168" s="1" t="s">
        <v>14</v>
      </c>
      <c r="H168">
        <v>13909</v>
      </c>
      <c r="I168">
        <v>7</v>
      </c>
      <c r="J168">
        <v>2023</v>
      </c>
      <c r="K168" s="1" t="s">
        <v>867</v>
      </c>
      <c r="L168">
        <v>4</v>
      </c>
      <c r="M168" s="1">
        <v>97363</v>
      </c>
    </row>
    <row r="169" spans="1:13" x14ac:dyDescent="0.3">
      <c r="A169" s="1" t="s">
        <v>226</v>
      </c>
      <c r="B169" s="2">
        <v>45070</v>
      </c>
      <c r="C169" s="1" t="s">
        <v>47</v>
      </c>
      <c r="D169" s="1" t="s">
        <v>48</v>
      </c>
      <c r="E169" s="1" t="s">
        <v>29</v>
      </c>
      <c r="F169" s="1" t="s">
        <v>18</v>
      </c>
      <c r="G169" s="1" t="s">
        <v>14</v>
      </c>
      <c r="H169">
        <v>25704</v>
      </c>
      <c r="I169">
        <v>6</v>
      </c>
      <c r="J169">
        <v>2023</v>
      </c>
      <c r="K169" s="1" t="s">
        <v>872</v>
      </c>
      <c r="L169">
        <v>5</v>
      </c>
      <c r="M169" s="1">
        <v>154224</v>
      </c>
    </row>
    <row r="170" spans="1:13" x14ac:dyDescent="0.3">
      <c r="A170" s="1" t="s">
        <v>227</v>
      </c>
      <c r="B170" s="2">
        <v>45197</v>
      </c>
      <c r="C170" s="1" t="s">
        <v>47</v>
      </c>
      <c r="D170" s="1" t="s">
        <v>48</v>
      </c>
      <c r="E170" s="1" t="s">
        <v>36</v>
      </c>
      <c r="F170" s="1" t="s">
        <v>18</v>
      </c>
      <c r="G170" s="1" t="s">
        <v>40</v>
      </c>
      <c r="H170">
        <v>18568</v>
      </c>
      <c r="I170">
        <v>4</v>
      </c>
      <c r="J170">
        <v>2023</v>
      </c>
      <c r="K170" s="1" t="s">
        <v>866</v>
      </c>
      <c r="L170">
        <v>9</v>
      </c>
      <c r="M170" s="1">
        <v>74272</v>
      </c>
    </row>
    <row r="171" spans="1:13" x14ac:dyDescent="0.3">
      <c r="A171" s="1" t="s">
        <v>228</v>
      </c>
      <c r="B171" s="2">
        <v>45230</v>
      </c>
      <c r="C171" s="1" t="s">
        <v>10</v>
      </c>
      <c r="D171" s="1" t="s">
        <v>11</v>
      </c>
      <c r="E171" s="1" t="s">
        <v>29</v>
      </c>
      <c r="F171" s="1" t="s">
        <v>13</v>
      </c>
      <c r="G171" s="1" t="s">
        <v>14</v>
      </c>
      <c r="H171">
        <v>9558</v>
      </c>
      <c r="I171">
        <v>9</v>
      </c>
      <c r="J171">
        <v>2023</v>
      </c>
      <c r="K171" s="1" t="s">
        <v>865</v>
      </c>
      <c r="L171">
        <v>10</v>
      </c>
      <c r="M171" s="1">
        <v>86022</v>
      </c>
    </row>
    <row r="172" spans="1:13" x14ac:dyDescent="0.3">
      <c r="A172" s="1" t="s">
        <v>229</v>
      </c>
      <c r="B172" s="2">
        <v>44963</v>
      </c>
      <c r="C172" s="1" t="s">
        <v>34</v>
      </c>
      <c r="D172" s="1" t="s">
        <v>35</v>
      </c>
      <c r="E172" s="1" t="s">
        <v>29</v>
      </c>
      <c r="F172" s="1" t="s">
        <v>13</v>
      </c>
      <c r="G172" s="1" t="s">
        <v>40</v>
      </c>
      <c r="H172">
        <v>14370</v>
      </c>
      <c r="I172">
        <v>6</v>
      </c>
      <c r="J172">
        <v>2023</v>
      </c>
      <c r="K172" s="1" t="s">
        <v>871</v>
      </c>
      <c r="L172">
        <v>2</v>
      </c>
      <c r="M172" s="1">
        <v>86220</v>
      </c>
    </row>
    <row r="173" spans="1:13" x14ac:dyDescent="0.3">
      <c r="A173" s="1" t="s">
        <v>230</v>
      </c>
      <c r="B173" s="2">
        <v>45061</v>
      </c>
      <c r="C173" s="1" t="s">
        <v>73</v>
      </c>
      <c r="D173" s="1" t="s">
        <v>74</v>
      </c>
      <c r="E173" s="1" t="s">
        <v>36</v>
      </c>
      <c r="F173" s="1" t="s">
        <v>25</v>
      </c>
      <c r="G173" s="1" t="s">
        <v>40</v>
      </c>
      <c r="H173">
        <v>10857</v>
      </c>
      <c r="I173">
        <v>7</v>
      </c>
      <c r="J173">
        <v>2023</v>
      </c>
      <c r="K173" s="1" t="s">
        <v>872</v>
      </c>
      <c r="L173">
        <v>5</v>
      </c>
      <c r="M173" s="1">
        <v>75999</v>
      </c>
    </row>
    <row r="174" spans="1:13" x14ac:dyDescent="0.3">
      <c r="A174" s="1" t="s">
        <v>231</v>
      </c>
      <c r="B174" s="2">
        <v>45079</v>
      </c>
      <c r="C174" s="1" t="s">
        <v>64</v>
      </c>
      <c r="D174" s="1" t="s">
        <v>65</v>
      </c>
      <c r="E174" s="1" t="s">
        <v>36</v>
      </c>
      <c r="F174" s="1" t="s">
        <v>18</v>
      </c>
      <c r="G174" s="1" t="s">
        <v>23</v>
      </c>
      <c r="H174">
        <v>17992</v>
      </c>
      <c r="I174">
        <v>8</v>
      </c>
      <c r="J174">
        <v>2023</v>
      </c>
      <c r="K174" s="1" t="s">
        <v>863</v>
      </c>
      <c r="L174">
        <v>6</v>
      </c>
      <c r="M174" s="1">
        <v>143936</v>
      </c>
    </row>
    <row r="175" spans="1:13" x14ac:dyDescent="0.3">
      <c r="A175" s="1" t="s">
        <v>232</v>
      </c>
      <c r="B175" s="2">
        <v>45085</v>
      </c>
      <c r="C175" s="1" t="s">
        <v>31</v>
      </c>
      <c r="D175" s="1" t="s">
        <v>32</v>
      </c>
      <c r="E175" s="1" t="s">
        <v>29</v>
      </c>
      <c r="F175" s="1" t="s">
        <v>22</v>
      </c>
      <c r="G175" s="1" t="s">
        <v>23</v>
      </c>
      <c r="H175">
        <v>17952</v>
      </c>
      <c r="I175">
        <v>8</v>
      </c>
      <c r="J175">
        <v>2023</v>
      </c>
      <c r="K175" s="1" t="s">
        <v>863</v>
      </c>
      <c r="L175">
        <v>6</v>
      </c>
      <c r="M175" s="1">
        <v>143616</v>
      </c>
    </row>
    <row r="176" spans="1:13" x14ac:dyDescent="0.3">
      <c r="A176" s="1" t="s">
        <v>233</v>
      </c>
      <c r="B176" s="2">
        <v>44998</v>
      </c>
      <c r="C176" s="1" t="s">
        <v>34</v>
      </c>
      <c r="D176" s="1" t="s">
        <v>35</v>
      </c>
      <c r="E176" s="1" t="s">
        <v>29</v>
      </c>
      <c r="F176" s="1" t="s">
        <v>13</v>
      </c>
      <c r="G176" s="1" t="s">
        <v>23</v>
      </c>
      <c r="H176">
        <v>15936</v>
      </c>
      <c r="I176">
        <v>8</v>
      </c>
      <c r="J176">
        <v>2023</v>
      </c>
      <c r="K176" s="1" t="s">
        <v>870</v>
      </c>
      <c r="L176">
        <v>3</v>
      </c>
      <c r="M176" s="1">
        <v>127488</v>
      </c>
    </row>
    <row r="177" spans="1:13" x14ac:dyDescent="0.3">
      <c r="A177" s="1" t="s">
        <v>234</v>
      </c>
      <c r="B177" s="2">
        <v>45139</v>
      </c>
      <c r="C177" s="1" t="s">
        <v>16</v>
      </c>
      <c r="D177" s="1" t="s">
        <v>17</v>
      </c>
      <c r="E177" s="1" t="s">
        <v>36</v>
      </c>
      <c r="F177" s="1" t="s">
        <v>18</v>
      </c>
      <c r="G177" s="1" t="s">
        <v>14</v>
      </c>
      <c r="H177">
        <v>16420</v>
      </c>
      <c r="I177">
        <v>5</v>
      </c>
      <c r="J177">
        <v>2023</v>
      </c>
      <c r="K177" s="1" t="s">
        <v>874</v>
      </c>
      <c r="L177">
        <v>8</v>
      </c>
      <c r="M177" s="1">
        <v>82100</v>
      </c>
    </row>
    <row r="178" spans="1:13" x14ac:dyDescent="0.3">
      <c r="A178" s="1" t="s">
        <v>235</v>
      </c>
      <c r="B178" s="2">
        <v>45056</v>
      </c>
      <c r="C178" s="1" t="s">
        <v>16</v>
      </c>
      <c r="D178" s="1" t="s">
        <v>17</v>
      </c>
      <c r="E178" s="1" t="s">
        <v>36</v>
      </c>
      <c r="F178" s="1" t="s">
        <v>25</v>
      </c>
      <c r="G178" s="1" t="s">
        <v>23</v>
      </c>
      <c r="H178">
        <v>12411</v>
      </c>
      <c r="I178">
        <v>3</v>
      </c>
      <c r="J178">
        <v>2023</v>
      </c>
      <c r="K178" s="1" t="s">
        <v>872</v>
      </c>
      <c r="L178">
        <v>5</v>
      </c>
      <c r="M178" s="1">
        <v>37233</v>
      </c>
    </row>
    <row r="179" spans="1:13" x14ac:dyDescent="0.3">
      <c r="A179" s="1" t="s">
        <v>236</v>
      </c>
      <c r="B179" s="2">
        <v>44956</v>
      </c>
      <c r="C179" s="1" t="s">
        <v>43</v>
      </c>
      <c r="D179" s="1" t="s">
        <v>44</v>
      </c>
      <c r="E179" s="1" t="s">
        <v>12</v>
      </c>
      <c r="F179" s="1" t="s">
        <v>18</v>
      </c>
      <c r="G179" s="1" t="s">
        <v>23</v>
      </c>
      <c r="H179">
        <v>22338</v>
      </c>
      <c r="I179">
        <v>9</v>
      </c>
      <c r="J179">
        <v>2023</v>
      </c>
      <c r="K179" s="1" t="s">
        <v>868</v>
      </c>
      <c r="L179">
        <v>1</v>
      </c>
      <c r="M179" s="1">
        <v>201042</v>
      </c>
    </row>
    <row r="180" spans="1:13" x14ac:dyDescent="0.3">
      <c r="A180" s="1" t="s">
        <v>237</v>
      </c>
      <c r="B180" s="2">
        <v>45257</v>
      </c>
      <c r="C180" s="1" t="s">
        <v>43</v>
      </c>
      <c r="D180" s="1" t="s">
        <v>44</v>
      </c>
      <c r="E180" s="1" t="s">
        <v>29</v>
      </c>
      <c r="F180" s="1" t="s">
        <v>22</v>
      </c>
      <c r="G180" s="1" t="s">
        <v>40</v>
      </c>
      <c r="H180">
        <v>18460</v>
      </c>
      <c r="I180">
        <v>4</v>
      </c>
      <c r="J180">
        <v>2023</v>
      </c>
      <c r="K180" s="1" t="s">
        <v>873</v>
      </c>
      <c r="L180">
        <v>11</v>
      </c>
      <c r="M180" s="1">
        <v>73840</v>
      </c>
    </row>
    <row r="181" spans="1:13" x14ac:dyDescent="0.3">
      <c r="A181" s="1" t="s">
        <v>238</v>
      </c>
      <c r="B181" s="2">
        <v>45240</v>
      </c>
      <c r="C181" s="1" t="s">
        <v>34</v>
      </c>
      <c r="D181" s="1" t="s">
        <v>35</v>
      </c>
      <c r="E181" s="1" t="s">
        <v>12</v>
      </c>
      <c r="F181" s="1" t="s">
        <v>22</v>
      </c>
      <c r="G181" s="1" t="s">
        <v>23</v>
      </c>
      <c r="H181">
        <v>12632</v>
      </c>
      <c r="I181">
        <v>8</v>
      </c>
      <c r="J181">
        <v>2023</v>
      </c>
      <c r="K181" s="1" t="s">
        <v>873</v>
      </c>
      <c r="L181">
        <v>11</v>
      </c>
      <c r="M181" s="1">
        <v>101056</v>
      </c>
    </row>
    <row r="182" spans="1:13" x14ac:dyDescent="0.3">
      <c r="A182" s="1" t="s">
        <v>239</v>
      </c>
      <c r="B182" s="2">
        <v>45205</v>
      </c>
      <c r="C182" s="1" t="s">
        <v>43</v>
      </c>
      <c r="D182" s="1" t="s">
        <v>44</v>
      </c>
      <c r="E182" s="1" t="s">
        <v>36</v>
      </c>
      <c r="F182" s="1" t="s">
        <v>13</v>
      </c>
      <c r="G182" s="1" t="s">
        <v>14</v>
      </c>
      <c r="H182">
        <v>12628</v>
      </c>
      <c r="I182">
        <v>7</v>
      </c>
      <c r="J182">
        <v>2023</v>
      </c>
      <c r="K182" s="1" t="s">
        <v>865</v>
      </c>
      <c r="L182">
        <v>10</v>
      </c>
      <c r="M182" s="1">
        <v>88396</v>
      </c>
    </row>
    <row r="183" spans="1:13" x14ac:dyDescent="0.3">
      <c r="A183" s="1" t="s">
        <v>240</v>
      </c>
      <c r="B183" s="2">
        <v>45102</v>
      </c>
      <c r="C183" s="1" t="s">
        <v>34</v>
      </c>
      <c r="D183" s="1" t="s">
        <v>35</v>
      </c>
      <c r="E183" s="1" t="s">
        <v>29</v>
      </c>
      <c r="F183" s="1" t="s">
        <v>13</v>
      </c>
      <c r="G183" s="1" t="s">
        <v>23</v>
      </c>
      <c r="H183">
        <v>34580</v>
      </c>
      <c r="I183">
        <v>7</v>
      </c>
      <c r="J183">
        <v>2023</v>
      </c>
      <c r="K183" s="1" t="s">
        <v>863</v>
      </c>
      <c r="L183">
        <v>6</v>
      </c>
      <c r="M183" s="1">
        <v>242060</v>
      </c>
    </row>
    <row r="184" spans="1:13" x14ac:dyDescent="0.3">
      <c r="A184" s="1" t="s">
        <v>241</v>
      </c>
      <c r="B184" s="2">
        <v>44954</v>
      </c>
      <c r="C184" s="1" t="s">
        <v>31</v>
      </c>
      <c r="D184" s="1" t="s">
        <v>32</v>
      </c>
      <c r="E184" s="1" t="s">
        <v>36</v>
      </c>
      <c r="F184" s="1" t="s">
        <v>22</v>
      </c>
      <c r="G184" s="1" t="s">
        <v>14</v>
      </c>
      <c r="H184">
        <v>1144</v>
      </c>
      <c r="I184">
        <v>1</v>
      </c>
      <c r="J184">
        <v>2023</v>
      </c>
      <c r="K184" s="1" t="s">
        <v>868</v>
      </c>
      <c r="L184">
        <v>1</v>
      </c>
      <c r="M184" s="1">
        <v>1144</v>
      </c>
    </row>
    <row r="185" spans="1:13" x14ac:dyDescent="0.3">
      <c r="A185" s="1" t="s">
        <v>242</v>
      </c>
      <c r="B185" s="2">
        <v>45208</v>
      </c>
      <c r="C185" s="1" t="s">
        <v>47</v>
      </c>
      <c r="D185" s="1" t="s">
        <v>48</v>
      </c>
      <c r="E185" s="1" t="s">
        <v>36</v>
      </c>
      <c r="F185" s="1" t="s">
        <v>13</v>
      </c>
      <c r="G185" s="1" t="s">
        <v>23</v>
      </c>
      <c r="H185">
        <v>30992</v>
      </c>
      <c r="I185">
        <v>8</v>
      </c>
      <c r="J185">
        <v>2023</v>
      </c>
      <c r="K185" s="1" t="s">
        <v>865</v>
      </c>
      <c r="L185">
        <v>10</v>
      </c>
      <c r="M185" s="1">
        <v>247936</v>
      </c>
    </row>
    <row r="186" spans="1:13" x14ac:dyDescent="0.3">
      <c r="A186" s="1" t="s">
        <v>243</v>
      </c>
      <c r="B186" s="2">
        <v>45229</v>
      </c>
      <c r="C186" s="1" t="s">
        <v>77</v>
      </c>
      <c r="D186" s="1" t="s">
        <v>78</v>
      </c>
      <c r="E186" s="1" t="s">
        <v>29</v>
      </c>
      <c r="F186" s="1" t="s">
        <v>18</v>
      </c>
      <c r="G186" s="1" t="s">
        <v>40</v>
      </c>
      <c r="H186">
        <v>10150</v>
      </c>
      <c r="I186">
        <v>5</v>
      </c>
      <c r="J186">
        <v>2023</v>
      </c>
      <c r="K186" s="1" t="s">
        <v>865</v>
      </c>
      <c r="L186">
        <v>10</v>
      </c>
      <c r="M186" s="1">
        <v>50750</v>
      </c>
    </row>
    <row r="187" spans="1:13" x14ac:dyDescent="0.3">
      <c r="A187" s="1" t="s">
        <v>244</v>
      </c>
      <c r="B187" s="2">
        <v>45046</v>
      </c>
      <c r="C187" s="1" t="s">
        <v>31</v>
      </c>
      <c r="D187" s="1" t="s">
        <v>32</v>
      </c>
      <c r="E187" s="1" t="s">
        <v>36</v>
      </c>
      <c r="F187" s="1" t="s">
        <v>22</v>
      </c>
      <c r="G187" s="1" t="s">
        <v>40</v>
      </c>
      <c r="H187">
        <v>880</v>
      </c>
      <c r="I187">
        <v>1</v>
      </c>
      <c r="J187">
        <v>2023</v>
      </c>
      <c r="K187" s="1" t="s">
        <v>867</v>
      </c>
      <c r="L187">
        <v>4</v>
      </c>
      <c r="M187" s="1">
        <v>880</v>
      </c>
    </row>
    <row r="188" spans="1:13" x14ac:dyDescent="0.3">
      <c r="A188" s="1" t="s">
        <v>245</v>
      </c>
      <c r="B188" s="2">
        <v>45142</v>
      </c>
      <c r="C188" s="1" t="s">
        <v>50</v>
      </c>
      <c r="D188" s="1" t="s">
        <v>51</v>
      </c>
      <c r="E188" s="1" t="s">
        <v>29</v>
      </c>
      <c r="F188" s="1" t="s">
        <v>22</v>
      </c>
      <c r="G188" s="1" t="s">
        <v>40</v>
      </c>
      <c r="H188">
        <v>31815</v>
      </c>
      <c r="I188">
        <v>9</v>
      </c>
      <c r="J188">
        <v>2023</v>
      </c>
      <c r="K188" s="1" t="s">
        <v>874</v>
      </c>
      <c r="L188">
        <v>8</v>
      </c>
      <c r="M188" s="1">
        <v>286335</v>
      </c>
    </row>
    <row r="189" spans="1:13" x14ac:dyDescent="0.3">
      <c r="A189" s="1" t="s">
        <v>246</v>
      </c>
      <c r="B189" s="2">
        <v>45076</v>
      </c>
      <c r="C189" s="1" t="s">
        <v>73</v>
      </c>
      <c r="D189" s="1" t="s">
        <v>74</v>
      </c>
      <c r="E189" s="1" t="s">
        <v>36</v>
      </c>
      <c r="F189" s="1" t="s">
        <v>13</v>
      </c>
      <c r="G189" s="1" t="s">
        <v>14</v>
      </c>
      <c r="H189">
        <v>20900</v>
      </c>
      <c r="I189">
        <v>10</v>
      </c>
      <c r="J189">
        <v>2023</v>
      </c>
      <c r="K189" s="1" t="s">
        <v>872</v>
      </c>
      <c r="L189">
        <v>5</v>
      </c>
      <c r="M189" s="1">
        <v>209000</v>
      </c>
    </row>
    <row r="190" spans="1:13" x14ac:dyDescent="0.3">
      <c r="A190" s="1" t="s">
        <v>247</v>
      </c>
      <c r="B190" s="2">
        <v>45009</v>
      </c>
      <c r="C190" s="1" t="s">
        <v>34</v>
      </c>
      <c r="D190" s="1" t="s">
        <v>35</v>
      </c>
      <c r="E190" s="1" t="s">
        <v>29</v>
      </c>
      <c r="F190" s="1" t="s">
        <v>13</v>
      </c>
      <c r="G190" s="1" t="s">
        <v>14</v>
      </c>
      <c r="H190">
        <v>25216</v>
      </c>
      <c r="I190">
        <v>8</v>
      </c>
      <c r="J190">
        <v>2023</v>
      </c>
      <c r="K190" s="1" t="s">
        <v>870</v>
      </c>
      <c r="L190">
        <v>3</v>
      </c>
      <c r="M190" s="1">
        <v>201728</v>
      </c>
    </row>
    <row r="191" spans="1:13" x14ac:dyDescent="0.3">
      <c r="A191" s="1" t="s">
        <v>248</v>
      </c>
      <c r="B191" s="2">
        <v>44966</v>
      </c>
      <c r="C191" s="1" t="s">
        <v>109</v>
      </c>
      <c r="D191" s="1" t="s">
        <v>110</v>
      </c>
      <c r="E191" s="1" t="s">
        <v>12</v>
      </c>
      <c r="F191" s="1" t="s">
        <v>13</v>
      </c>
      <c r="G191" s="1" t="s">
        <v>40</v>
      </c>
      <c r="H191">
        <v>24828</v>
      </c>
      <c r="I191">
        <v>6</v>
      </c>
      <c r="J191">
        <v>2023</v>
      </c>
      <c r="K191" s="1" t="s">
        <v>871</v>
      </c>
      <c r="L191">
        <v>2</v>
      </c>
      <c r="M191" s="1">
        <v>148968</v>
      </c>
    </row>
    <row r="192" spans="1:13" x14ac:dyDescent="0.3">
      <c r="A192" s="1" t="s">
        <v>249</v>
      </c>
      <c r="B192" s="2">
        <v>44952</v>
      </c>
      <c r="C192" s="1" t="s">
        <v>31</v>
      </c>
      <c r="D192" s="1" t="s">
        <v>32</v>
      </c>
      <c r="E192" s="1" t="s">
        <v>12</v>
      </c>
      <c r="F192" s="1" t="s">
        <v>13</v>
      </c>
      <c r="G192" s="1" t="s">
        <v>23</v>
      </c>
      <c r="H192">
        <v>19089</v>
      </c>
      <c r="I192">
        <v>7</v>
      </c>
      <c r="J192">
        <v>2023</v>
      </c>
      <c r="K192" s="1" t="s">
        <v>868</v>
      </c>
      <c r="L192">
        <v>1</v>
      </c>
      <c r="M192" s="1">
        <v>133623</v>
      </c>
    </row>
    <row r="193" spans="1:13" x14ac:dyDescent="0.3">
      <c r="A193" s="1" t="s">
        <v>250</v>
      </c>
      <c r="B193" s="2">
        <v>45247</v>
      </c>
      <c r="C193" s="1" t="s">
        <v>73</v>
      </c>
      <c r="D193" s="1" t="s">
        <v>74</v>
      </c>
      <c r="E193" s="1" t="s">
        <v>29</v>
      </c>
      <c r="F193" s="1" t="s">
        <v>25</v>
      </c>
      <c r="G193" s="1" t="s">
        <v>23</v>
      </c>
      <c r="H193">
        <v>18279</v>
      </c>
      <c r="I193">
        <v>9</v>
      </c>
      <c r="J193">
        <v>2023</v>
      </c>
      <c r="K193" s="1" t="s">
        <v>873</v>
      </c>
      <c r="L193">
        <v>11</v>
      </c>
      <c r="M193" s="1">
        <v>164511</v>
      </c>
    </row>
    <row r="194" spans="1:13" x14ac:dyDescent="0.3">
      <c r="A194" s="1" t="s">
        <v>251</v>
      </c>
      <c r="B194" s="2">
        <v>45045</v>
      </c>
      <c r="C194" s="1" t="s">
        <v>10</v>
      </c>
      <c r="D194" s="1" t="s">
        <v>11</v>
      </c>
      <c r="E194" s="1" t="s">
        <v>12</v>
      </c>
      <c r="F194" s="1" t="s">
        <v>22</v>
      </c>
      <c r="G194" s="1" t="s">
        <v>40</v>
      </c>
      <c r="H194">
        <v>3419</v>
      </c>
      <c r="I194">
        <v>1</v>
      </c>
      <c r="J194">
        <v>2023</v>
      </c>
      <c r="K194" s="1" t="s">
        <v>867</v>
      </c>
      <c r="L194">
        <v>4</v>
      </c>
      <c r="M194" s="1">
        <v>3419</v>
      </c>
    </row>
    <row r="195" spans="1:13" x14ac:dyDescent="0.3">
      <c r="A195" s="1" t="s">
        <v>252</v>
      </c>
      <c r="B195" s="2">
        <v>45116</v>
      </c>
      <c r="C195" s="1" t="s">
        <v>53</v>
      </c>
      <c r="D195" s="1" t="s">
        <v>54</v>
      </c>
      <c r="E195" s="1" t="s">
        <v>36</v>
      </c>
      <c r="F195" s="1" t="s">
        <v>18</v>
      </c>
      <c r="G195" s="1" t="s">
        <v>23</v>
      </c>
      <c r="H195">
        <v>28808</v>
      </c>
      <c r="I195">
        <v>8</v>
      </c>
      <c r="J195">
        <v>2023</v>
      </c>
      <c r="K195" s="1" t="s">
        <v>864</v>
      </c>
      <c r="L195">
        <v>7</v>
      </c>
      <c r="M195" s="1">
        <v>230464</v>
      </c>
    </row>
    <row r="196" spans="1:13" x14ac:dyDescent="0.3">
      <c r="A196" s="1" t="s">
        <v>253</v>
      </c>
      <c r="B196" s="2">
        <v>45125</v>
      </c>
      <c r="C196" s="1" t="s">
        <v>47</v>
      </c>
      <c r="D196" s="1" t="s">
        <v>48</v>
      </c>
      <c r="E196" s="1" t="s">
        <v>12</v>
      </c>
      <c r="F196" s="1" t="s">
        <v>22</v>
      </c>
      <c r="G196" s="1" t="s">
        <v>23</v>
      </c>
      <c r="H196">
        <v>7301</v>
      </c>
      <c r="I196">
        <v>7</v>
      </c>
      <c r="J196">
        <v>2023</v>
      </c>
      <c r="K196" s="1" t="s">
        <v>864</v>
      </c>
      <c r="L196">
        <v>7</v>
      </c>
      <c r="M196" s="1">
        <v>51107</v>
      </c>
    </row>
    <row r="197" spans="1:13" x14ac:dyDescent="0.3">
      <c r="A197" s="1" t="s">
        <v>254</v>
      </c>
      <c r="B197" s="2">
        <v>45088</v>
      </c>
      <c r="C197" s="1" t="s">
        <v>20</v>
      </c>
      <c r="D197" s="1" t="s">
        <v>21</v>
      </c>
      <c r="E197" s="1" t="s">
        <v>12</v>
      </c>
      <c r="F197" s="1" t="s">
        <v>18</v>
      </c>
      <c r="G197" s="1" t="s">
        <v>40</v>
      </c>
      <c r="H197">
        <v>15318</v>
      </c>
      <c r="I197">
        <v>9</v>
      </c>
      <c r="J197">
        <v>2023</v>
      </c>
      <c r="K197" s="1" t="s">
        <v>863</v>
      </c>
      <c r="L197">
        <v>6</v>
      </c>
      <c r="M197" s="1">
        <v>137862</v>
      </c>
    </row>
    <row r="198" spans="1:13" x14ac:dyDescent="0.3">
      <c r="A198" s="1" t="s">
        <v>255</v>
      </c>
      <c r="B198" s="2">
        <v>45002</v>
      </c>
      <c r="C198" s="1" t="s">
        <v>50</v>
      </c>
      <c r="D198" s="1" t="s">
        <v>51</v>
      </c>
      <c r="E198" s="1" t="s">
        <v>29</v>
      </c>
      <c r="F198" s="1" t="s">
        <v>22</v>
      </c>
      <c r="G198" s="1" t="s">
        <v>40</v>
      </c>
      <c r="H198">
        <v>21762</v>
      </c>
      <c r="I198">
        <v>6</v>
      </c>
      <c r="J198">
        <v>2023</v>
      </c>
      <c r="K198" s="1" t="s">
        <v>870</v>
      </c>
      <c r="L198">
        <v>3</v>
      </c>
      <c r="M198" s="1">
        <v>130572</v>
      </c>
    </row>
    <row r="199" spans="1:13" x14ac:dyDescent="0.3">
      <c r="A199" s="1" t="s">
        <v>256</v>
      </c>
      <c r="B199" s="2">
        <v>45243</v>
      </c>
      <c r="C199" s="1" t="s">
        <v>61</v>
      </c>
      <c r="D199" s="1" t="s">
        <v>62</v>
      </c>
      <c r="E199" s="1" t="s">
        <v>12</v>
      </c>
      <c r="F199" s="1" t="s">
        <v>22</v>
      </c>
      <c r="G199" s="1" t="s">
        <v>23</v>
      </c>
      <c r="H199">
        <v>21740</v>
      </c>
      <c r="I199">
        <v>10</v>
      </c>
      <c r="J199">
        <v>2023</v>
      </c>
      <c r="K199" s="1" t="s">
        <v>873</v>
      </c>
      <c r="L199">
        <v>11</v>
      </c>
      <c r="M199" s="1">
        <v>217400</v>
      </c>
    </row>
    <row r="200" spans="1:13" x14ac:dyDescent="0.3">
      <c r="A200" s="1" t="s">
        <v>257</v>
      </c>
      <c r="B200" s="2">
        <v>45165</v>
      </c>
      <c r="C200" s="1" t="s">
        <v>38</v>
      </c>
      <c r="D200" s="1" t="s">
        <v>39</v>
      </c>
      <c r="E200" s="1" t="s">
        <v>29</v>
      </c>
      <c r="F200" s="1" t="s">
        <v>18</v>
      </c>
      <c r="G200" s="1" t="s">
        <v>23</v>
      </c>
      <c r="H200">
        <v>8278</v>
      </c>
      <c r="I200">
        <v>2</v>
      </c>
      <c r="J200">
        <v>2023</v>
      </c>
      <c r="K200" s="1" t="s">
        <v>874</v>
      </c>
      <c r="L200">
        <v>8</v>
      </c>
      <c r="M200" s="1">
        <v>16556</v>
      </c>
    </row>
    <row r="201" spans="1:13" x14ac:dyDescent="0.3">
      <c r="A201" s="1" t="s">
        <v>258</v>
      </c>
      <c r="B201" s="2">
        <v>45025</v>
      </c>
      <c r="C201" s="1" t="s">
        <v>31</v>
      </c>
      <c r="D201" s="1" t="s">
        <v>32</v>
      </c>
      <c r="E201" s="1" t="s">
        <v>12</v>
      </c>
      <c r="F201" s="1" t="s">
        <v>22</v>
      </c>
      <c r="G201" s="1" t="s">
        <v>14</v>
      </c>
      <c r="H201">
        <v>26430</v>
      </c>
      <c r="I201">
        <v>6</v>
      </c>
      <c r="J201">
        <v>2023</v>
      </c>
      <c r="K201" s="1" t="s">
        <v>867</v>
      </c>
      <c r="L201">
        <v>4</v>
      </c>
      <c r="M201" s="1">
        <v>158580</v>
      </c>
    </row>
    <row r="202" spans="1:13" x14ac:dyDescent="0.3">
      <c r="A202" s="1" t="s">
        <v>259</v>
      </c>
      <c r="B202" s="2">
        <v>45041</v>
      </c>
      <c r="C202" s="1" t="s">
        <v>31</v>
      </c>
      <c r="D202" s="1" t="s">
        <v>32</v>
      </c>
      <c r="E202" s="1" t="s">
        <v>29</v>
      </c>
      <c r="F202" s="1" t="s">
        <v>18</v>
      </c>
      <c r="G202" s="1" t="s">
        <v>14</v>
      </c>
      <c r="H202">
        <v>7446</v>
      </c>
      <c r="I202">
        <v>6</v>
      </c>
      <c r="J202">
        <v>2023</v>
      </c>
      <c r="K202" s="1" t="s">
        <v>867</v>
      </c>
      <c r="L202">
        <v>4</v>
      </c>
      <c r="M202" s="1">
        <v>44676</v>
      </c>
    </row>
    <row r="203" spans="1:13" x14ac:dyDescent="0.3">
      <c r="A203" s="1" t="s">
        <v>260</v>
      </c>
      <c r="B203" s="2">
        <v>45278</v>
      </c>
      <c r="C203" s="1" t="s">
        <v>47</v>
      </c>
      <c r="D203" s="1" t="s">
        <v>48</v>
      </c>
      <c r="E203" s="1" t="s">
        <v>29</v>
      </c>
      <c r="F203" s="1" t="s">
        <v>25</v>
      </c>
      <c r="G203" s="1" t="s">
        <v>40</v>
      </c>
      <c r="H203">
        <v>9448</v>
      </c>
      <c r="I203">
        <v>2</v>
      </c>
      <c r="J203">
        <v>2023</v>
      </c>
      <c r="K203" s="1" t="s">
        <v>869</v>
      </c>
      <c r="L203">
        <v>12</v>
      </c>
      <c r="M203" s="1">
        <v>18896</v>
      </c>
    </row>
    <row r="204" spans="1:13" x14ac:dyDescent="0.3">
      <c r="A204" s="1" t="s">
        <v>261</v>
      </c>
      <c r="B204" s="2">
        <v>45280</v>
      </c>
      <c r="C204" s="1" t="s">
        <v>64</v>
      </c>
      <c r="D204" s="1" t="s">
        <v>65</v>
      </c>
      <c r="E204" s="1" t="s">
        <v>36</v>
      </c>
      <c r="F204" s="1" t="s">
        <v>22</v>
      </c>
      <c r="G204" s="1" t="s">
        <v>40</v>
      </c>
      <c r="H204">
        <v>20250</v>
      </c>
      <c r="I204">
        <v>5</v>
      </c>
      <c r="J204">
        <v>2023</v>
      </c>
      <c r="K204" s="1" t="s">
        <v>869</v>
      </c>
      <c r="L204">
        <v>12</v>
      </c>
      <c r="M204" s="1">
        <v>101250</v>
      </c>
    </row>
    <row r="205" spans="1:13" x14ac:dyDescent="0.3">
      <c r="A205" s="1" t="s">
        <v>262</v>
      </c>
      <c r="B205" s="2">
        <v>45208</v>
      </c>
      <c r="C205" s="1" t="s">
        <v>27</v>
      </c>
      <c r="D205" s="1" t="s">
        <v>28</v>
      </c>
      <c r="E205" s="1" t="s">
        <v>29</v>
      </c>
      <c r="F205" s="1" t="s">
        <v>18</v>
      </c>
      <c r="G205" s="1" t="s">
        <v>40</v>
      </c>
      <c r="H205">
        <v>20727</v>
      </c>
      <c r="I205">
        <v>7</v>
      </c>
      <c r="J205">
        <v>2023</v>
      </c>
      <c r="K205" s="1" t="s">
        <v>865</v>
      </c>
      <c r="L205">
        <v>10</v>
      </c>
      <c r="M205" s="1">
        <v>145089</v>
      </c>
    </row>
    <row r="206" spans="1:13" x14ac:dyDescent="0.3">
      <c r="A206" s="1" t="s">
        <v>263</v>
      </c>
      <c r="B206" s="2">
        <v>45246</v>
      </c>
      <c r="C206" s="1" t="s">
        <v>20</v>
      </c>
      <c r="D206" s="1" t="s">
        <v>21</v>
      </c>
      <c r="E206" s="1" t="s">
        <v>12</v>
      </c>
      <c r="F206" s="1" t="s">
        <v>22</v>
      </c>
      <c r="G206" s="1" t="s">
        <v>40</v>
      </c>
      <c r="H206">
        <v>13623</v>
      </c>
      <c r="I206">
        <v>3</v>
      </c>
      <c r="J206">
        <v>2023</v>
      </c>
      <c r="K206" s="1" t="s">
        <v>873</v>
      </c>
      <c r="L206">
        <v>11</v>
      </c>
      <c r="M206" s="1">
        <v>40869</v>
      </c>
    </row>
    <row r="207" spans="1:13" x14ac:dyDescent="0.3">
      <c r="A207" s="1" t="s">
        <v>264</v>
      </c>
      <c r="B207" s="2">
        <v>44954</v>
      </c>
      <c r="C207" s="1" t="s">
        <v>109</v>
      </c>
      <c r="D207" s="1" t="s">
        <v>110</v>
      </c>
      <c r="E207" s="1" t="s">
        <v>12</v>
      </c>
      <c r="F207" s="1" t="s">
        <v>18</v>
      </c>
      <c r="G207" s="1" t="s">
        <v>14</v>
      </c>
      <c r="H207">
        <v>4257</v>
      </c>
      <c r="I207">
        <v>3</v>
      </c>
      <c r="J207">
        <v>2023</v>
      </c>
      <c r="K207" s="1" t="s">
        <v>868</v>
      </c>
      <c r="L207">
        <v>1</v>
      </c>
      <c r="M207" s="1">
        <v>12771</v>
      </c>
    </row>
    <row r="208" spans="1:13" x14ac:dyDescent="0.3">
      <c r="A208" s="1" t="s">
        <v>265</v>
      </c>
      <c r="B208" s="2">
        <v>45073</v>
      </c>
      <c r="C208" s="1" t="s">
        <v>47</v>
      </c>
      <c r="D208" s="1" t="s">
        <v>48</v>
      </c>
      <c r="E208" s="1" t="s">
        <v>29</v>
      </c>
      <c r="F208" s="1" t="s">
        <v>25</v>
      </c>
      <c r="G208" s="1" t="s">
        <v>40</v>
      </c>
      <c r="H208">
        <v>13392</v>
      </c>
      <c r="I208">
        <v>9</v>
      </c>
      <c r="J208">
        <v>2023</v>
      </c>
      <c r="K208" s="1" t="s">
        <v>872</v>
      </c>
      <c r="L208">
        <v>5</v>
      </c>
      <c r="M208" s="1">
        <v>120528</v>
      </c>
    </row>
    <row r="209" spans="1:13" x14ac:dyDescent="0.3">
      <c r="A209" s="1" t="s">
        <v>266</v>
      </c>
      <c r="B209" s="2">
        <v>45116</v>
      </c>
      <c r="C209" s="1" t="s">
        <v>38</v>
      </c>
      <c r="D209" s="1" t="s">
        <v>39</v>
      </c>
      <c r="E209" s="1" t="s">
        <v>36</v>
      </c>
      <c r="F209" s="1" t="s">
        <v>13</v>
      </c>
      <c r="G209" s="1" t="s">
        <v>23</v>
      </c>
      <c r="H209">
        <v>24651</v>
      </c>
      <c r="I209">
        <v>9</v>
      </c>
      <c r="J209">
        <v>2023</v>
      </c>
      <c r="K209" s="1" t="s">
        <v>864</v>
      </c>
      <c r="L209">
        <v>7</v>
      </c>
      <c r="M209" s="1">
        <v>221859</v>
      </c>
    </row>
    <row r="210" spans="1:13" x14ac:dyDescent="0.3">
      <c r="A210" s="1" t="s">
        <v>267</v>
      </c>
      <c r="B210" s="2">
        <v>45054</v>
      </c>
      <c r="C210" s="1" t="s">
        <v>73</v>
      </c>
      <c r="D210" s="1" t="s">
        <v>74</v>
      </c>
      <c r="E210" s="1" t="s">
        <v>36</v>
      </c>
      <c r="F210" s="1" t="s">
        <v>18</v>
      </c>
      <c r="G210" s="1" t="s">
        <v>14</v>
      </c>
      <c r="H210">
        <v>10359</v>
      </c>
      <c r="I210">
        <v>3</v>
      </c>
      <c r="J210">
        <v>2023</v>
      </c>
      <c r="K210" s="1" t="s">
        <v>872</v>
      </c>
      <c r="L210">
        <v>5</v>
      </c>
      <c r="M210" s="1">
        <v>31077</v>
      </c>
    </row>
    <row r="211" spans="1:13" x14ac:dyDescent="0.3">
      <c r="A211" s="1" t="s">
        <v>268</v>
      </c>
      <c r="B211" s="2">
        <v>45287</v>
      </c>
      <c r="C211" s="1" t="s">
        <v>10</v>
      </c>
      <c r="D211" s="1" t="s">
        <v>11</v>
      </c>
      <c r="E211" s="1" t="s">
        <v>12</v>
      </c>
      <c r="F211" s="1" t="s">
        <v>22</v>
      </c>
      <c r="G211" s="1" t="s">
        <v>23</v>
      </c>
      <c r="H211">
        <v>15534</v>
      </c>
      <c r="I211">
        <v>6</v>
      </c>
      <c r="J211">
        <v>2023</v>
      </c>
      <c r="K211" s="1" t="s">
        <v>869</v>
      </c>
      <c r="L211">
        <v>12</v>
      </c>
      <c r="M211" s="1">
        <v>93204</v>
      </c>
    </row>
    <row r="212" spans="1:13" x14ac:dyDescent="0.3">
      <c r="A212" s="1" t="s">
        <v>269</v>
      </c>
      <c r="B212" s="2">
        <v>45263</v>
      </c>
      <c r="C212" s="1" t="s">
        <v>47</v>
      </c>
      <c r="D212" s="1" t="s">
        <v>48</v>
      </c>
      <c r="E212" s="1" t="s">
        <v>29</v>
      </c>
      <c r="F212" s="1" t="s">
        <v>18</v>
      </c>
      <c r="G212" s="1" t="s">
        <v>14</v>
      </c>
      <c r="H212">
        <v>20130</v>
      </c>
      <c r="I212">
        <v>10</v>
      </c>
      <c r="J212">
        <v>2023</v>
      </c>
      <c r="K212" s="1" t="s">
        <v>869</v>
      </c>
      <c r="L212">
        <v>12</v>
      </c>
      <c r="M212" s="1">
        <v>201300</v>
      </c>
    </row>
    <row r="213" spans="1:13" x14ac:dyDescent="0.3">
      <c r="A213" s="1" t="s">
        <v>270</v>
      </c>
      <c r="B213" s="2">
        <v>45282</v>
      </c>
      <c r="C213" s="1" t="s">
        <v>47</v>
      </c>
      <c r="D213" s="1" t="s">
        <v>48</v>
      </c>
      <c r="E213" s="1" t="s">
        <v>12</v>
      </c>
      <c r="F213" s="1" t="s">
        <v>18</v>
      </c>
      <c r="G213" s="1" t="s">
        <v>23</v>
      </c>
      <c r="H213">
        <v>11220</v>
      </c>
      <c r="I213">
        <v>6</v>
      </c>
      <c r="J213">
        <v>2023</v>
      </c>
      <c r="K213" s="1" t="s">
        <v>869</v>
      </c>
      <c r="L213">
        <v>12</v>
      </c>
      <c r="M213" s="1">
        <v>67320</v>
      </c>
    </row>
    <row r="214" spans="1:13" x14ac:dyDescent="0.3">
      <c r="A214" s="1" t="s">
        <v>271</v>
      </c>
      <c r="B214" s="2">
        <v>45274</v>
      </c>
      <c r="C214" s="1" t="s">
        <v>50</v>
      </c>
      <c r="D214" s="1" t="s">
        <v>51</v>
      </c>
      <c r="E214" s="1" t="s">
        <v>29</v>
      </c>
      <c r="F214" s="1" t="s">
        <v>13</v>
      </c>
      <c r="G214" s="1" t="s">
        <v>40</v>
      </c>
      <c r="H214">
        <v>15800</v>
      </c>
      <c r="I214">
        <v>8</v>
      </c>
      <c r="J214">
        <v>2023</v>
      </c>
      <c r="K214" s="1" t="s">
        <v>869</v>
      </c>
      <c r="L214">
        <v>12</v>
      </c>
      <c r="M214" s="1">
        <v>126400</v>
      </c>
    </row>
    <row r="215" spans="1:13" x14ac:dyDescent="0.3">
      <c r="A215" s="1" t="s">
        <v>272</v>
      </c>
      <c r="B215" s="2">
        <v>45222</v>
      </c>
      <c r="C215" s="1" t="s">
        <v>53</v>
      </c>
      <c r="D215" s="1" t="s">
        <v>54</v>
      </c>
      <c r="E215" s="1" t="s">
        <v>29</v>
      </c>
      <c r="F215" s="1" t="s">
        <v>13</v>
      </c>
      <c r="G215" s="1" t="s">
        <v>14</v>
      </c>
      <c r="H215">
        <v>11838</v>
      </c>
      <c r="I215">
        <v>6</v>
      </c>
      <c r="J215">
        <v>2023</v>
      </c>
      <c r="K215" s="1" t="s">
        <v>865</v>
      </c>
      <c r="L215">
        <v>10</v>
      </c>
      <c r="M215" s="1">
        <v>71028</v>
      </c>
    </row>
    <row r="216" spans="1:13" x14ac:dyDescent="0.3">
      <c r="A216" s="1" t="s">
        <v>273</v>
      </c>
      <c r="B216" s="2">
        <v>45266</v>
      </c>
      <c r="C216" s="1" t="s">
        <v>20</v>
      </c>
      <c r="D216" s="1" t="s">
        <v>21</v>
      </c>
      <c r="E216" s="1" t="s">
        <v>29</v>
      </c>
      <c r="F216" s="1" t="s">
        <v>25</v>
      </c>
      <c r="G216" s="1" t="s">
        <v>23</v>
      </c>
      <c r="H216">
        <v>25792</v>
      </c>
      <c r="I216">
        <v>8</v>
      </c>
      <c r="J216">
        <v>2023</v>
      </c>
      <c r="K216" s="1" t="s">
        <v>869</v>
      </c>
      <c r="L216">
        <v>12</v>
      </c>
      <c r="M216" s="1">
        <v>206336</v>
      </c>
    </row>
    <row r="217" spans="1:13" x14ac:dyDescent="0.3">
      <c r="A217" s="1" t="s">
        <v>274</v>
      </c>
      <c r="B217" s="2">
        <v>45161</v>
      </c>
      <c r="C217" s="1" t="s">
        <v>34</v>
      </c>
      <c r="D217" s="1" t="s">
        <v>35</v>
      </c>
      <c r="E217" s="1" t="s">
        <v>29</v>
      </c>
      <c r="F217" s="1" t="s">
        <v>22</v>
      </c>
      <c r="G217" s="1" t="s">
        <v>14</v>
      </c>
      <c r="H217">
        <v>47570</v>
      </c>
      <c r="I217">
        <v>10</v>
      </c>
      <c r="J217">
        <v>2023</v>
      </c>
      <c r="K217" s="1" t="s">
        <v>874</v>
      </c>
      <c r="L217">
        <v>8</v>
      </c>
      <c r="M217" s="1">
        <v>475700</v>
      </c>
    </row>
    <row r="218" spans="1:13" x14ac:dyDescent="0.3">
      <c r="A218" s="1" t="s">
        <v>275</v>
      </c>
      <c r="B218" s="2">
        <v>45253</v>
      </c>
      <c r="C218" s="1" t="s">
        <v>61</v>
      </c>
      <c r="D218" s="1" t="s">
        <v>62</v>
      </c>
      <c r="E218" s="1" t="s">
        <v>36</v>
      </c>
      <c r="F218" s="1" t="s">
        <v>25</v>
      </c>
      <c r="G218" s="1" t="s">
        <v>40</v>
      </c>
      <c r="H218">
        <v>38552</v>
      </c>
      <c r="I218">
        <v>8</v>
      </c>
      <c r="J218">
        <v>2023</v>
      </c>
      <c r="K218" s="1" t="s">
        <v>873</v>
      </c>
      <c r="L218">
        <v>11</v>
      </c>
      <c r="M218" s="1">
        <v>308416</v>
      </c>
    </row>
    <row r="219" spans="1:13" x14ac:dyDescent="0.3">
      <c r="A219" s="1" t="s">
        <v>276</v>
      </c>
      <c r="B219" s="2">
        <v>45103</v>
      </c>
      <c r="C219" s="1" t="s">
        <v>61</v>
      </c>
      <c r="D219" s="1" t="s">
        <v>62</v>
      </c>
      <c r="E219" s="1" t="s">
        <v>29</v>
      </c>
      <c r="F219" s="1" t="s">
        <v>18</v>
      </c>
      <c r="G219" s="1" t="s">
        <v>40</v>
      </c>
      <c r="H219">
        <v>5835</v>
      </c>
      <c r="I219">
        <v>3</v>
      </c>
      <c r="J219">
        <v>2023</v>
      </c>
      <c r="K219" s="1" t="s">
        <v>863</v>
      </c>
      <c r="L219">
        <v>6</v>
      </c>
      <c r="M219" s="1">
        <v>17505</v>
      </c>
    </row>
    <row r="220" spans="1:13" x14ac:dyDescent="0.3">
      <c r="A220" s="1" t="s">
        <v>277</v>
      </c>
      <c r="B220" s="2">
        <v>45242</v>
      </c>
      <c r="C220" s="1" t="s">
        <v>67</v>
      </c>
      <c r="D220" s="1" t="s">
        <v>68</v>
      </c>
      <c r="E220" s="1" t="s">
        <v>12</v>
      </c>
      <c r="F220" s="1" t="s">
        <v>25</v>
      </c>
      <c r="G220" s="1" t="s">
        <v>23</v>
      </c>
      <c r="H220">
        <v>42760</v>
      </c>
      <c r="I220">
        <v>10</v>
      </c>
      <c r="J220">
        <v>2023</v>
      </c>
      <c r="K220" s="1" t="s">
        <v>873</v>
      </c>
      <c r="L220">
        <v>11</v>
      </c>
      <c r="M220" s="1">
        <v>427600</v>
      </c>
    </row>
    <row r="221" spans="1:13" x14ac:dyDescent="0.3">
      <c r="A221" s="1" t="s">
        <v>278</v>
      </c>
      <c r="B221" s="2">
        <v>45139</v>
      </c>
      <c r="C221" s="1" t="s">
        <v>61</v>
      </c>
      <c r="D221" s="1" t="s">
        <v>62</v>
      </c>
      <c r="E221" s="1" t="s">
        <v>29</v>
      </c>
      <c r="F221" s="1" t="s">
        <v>22</v>
      </c>
      <c r="G221" s="1" t="s">
        <v>40</v>
      </c>
      <c r="H221">
        <v>6516</v>
      </c>
      <c r="I221">
        <v>2</v>
      </c>
      <c r="J221">
        <v>2023</v>
      </c>
      <c r="K221" s="1" t="s">
        <v>874</v>
      </c>
      <c r="L221">
        <v>8</v>
      </c>
      <c r="M221" s="1">
        <v>13032</v>
      </c>
    </row>
    <row r="222" spans="1:13" x14ac:dyDescent="0.3">
      <c r="A222" s="1" t="s">
        <v>279</v>
      </c>
      <c r="B222" s="2">
        <v>45044</v>
      </c>
      <c r="C222" s="1" t="s">
        <v>61</v>
      </c>
      <c r="D222" s="1" t="s">
        <v>62</v>
      </c>
      <c r="E222" s="1" t="s">
        <v>12</v>
      </c>
      <c r="F222" s="1" t="s">
        <v>22</v>
      </c>
      <c r="G222" s="1" t="s">
        <v>14</v>
      </c>
      <c r="H222">
        <v>23695</v>
      </c>
      <c r="I222">
        <v>7</v>
      </c>
      <c r="J222">
        <v>2023</v>
      </c>
      <c r="K222" s="1" t="s">
        <v>867</v>
      </c>
      <c r="L222">
        <v>4</v>
      </c>
      <c r="M222" s="1">
        <v>165865</v>
      </c>
    </row>
    <row r="223" spans="1:13" x14ac:dyDescent="0.3">
      <c r="A223" s="1" t="s">
        <v>280</v>
      </c>
      <c r="B223" s="2">
        <v>44989</v>
      </c>
      <c r="C223" s="1" t="s">
        <v>89</v>
      </c>
      <c r="D223" s="1" t="s">
        <v>90</v>
      </c>
      <c r="E223" s="1" t="s">
        <v>36</v>
      </c>
      <c r="F223" s="1" t="s">
        <v>18</v>
      </c>
      <c r="G223" s="1" t="s">
        <v>14</v>
      </c>
      <c r="H223">
        <v>11320</v>
      </c>
      <c r="I223">
        <v>4</v>
      </c>
      <c r="J223">
        <v>2023</v>
      </c>
      <c r="K223" s="1" t="s">
        <v>870</v>
      </c>
      <c r="L223">
        <v>3</v>
      </c>
      <c r="M223" s="1">
        <v>45280</v>
      </c>
    </row>
    <row r="224" spans="1:13" x14ac:dyDescent="0.3">
      <c r="A224" s="1" t="s">
        <v>281</v>
      </c>
      <c r="B224" s="2">
        <v>45171</v>
      </c>
      <c r="C224" s="1" t="s">
        <v>20</v>
      </c>
      <c r="D224" s="1" t="s">
        <v>21</v>
      </c>
      <c r="E224" s="1" t="s">
        <v>29</v>
      </c>
      <c r="F224" s="1" t="s">
        <v>13</v>
      </c>
      <c r="G224" s="1" t="s">
        <v>40</v>
      </c>
      <c r="H224">
        <v>10107</v>
      </c>
      <c r="I224">
        <v>3</v>
      </c>
      <c r="J224">
        <v>2023</v>
      </c>
      <c r="K224" s="1" t="s">
        <v>866</v>
      </c>
      <c r="L224">
        <v>9</v>
      </c>
      <c r="M224" s="1">
        <v>30321</v>
      </c>
    </row>
    <row r="225" spans="1:13" x14ac:dyDescent="0.3">
      <c r="A225" s="1" t="s">
        <v>282</v>
      </c>
      <c r="B225" s="2">
        <v>45072</v>
      </c>
      <c r="C225" s="1" t="s">
        <v>47</v>
      </c>
      <c r="D225" s="1" t="s">
        <v>48</v>
      </c>
      <c r="E225" s="1" t="s">
        <v>36</v>
      </c>
      <c r="F225" s="1" t="s">
        <v>18</v>
      </c>
      <c r="G225" s="1" t="s">
        <v>40</v>
      </c>
      <c r="H225">
        <v>19794</v>
      </c>
      <c r="I225">
        <v>6</v>
      </c>
      <c r="J225">
        <v>2023</v>
      </c>
      <c r="K225" s="1" t="s">
        <v>872</v>
      </c>
      <c r="L225">
        <v>5</v>
      </c>
      <c r="M225" s="1">
        <v>118764</v>
      </c>
    </row>
    <row r="226" spans="1:13" x14ac:dyDescent="0.3">
      <c r="A226" s="1" t="s">
        <v>283</v>
      </c>
      <c r="B226" s="2">
        <v>45010</v>
      </c>
      <c r="C226" s="1" t="s">
        <v>34</v>
      </c>
      <c r="D226" s="1" t="s">
        <v>35</v>
      </c>
      <c r="E226" s="1" t="s">
        <v>29</v>
      </c>
      <c r="F226" s="1" t="s">
        <v>22</v>
      </c>
      <c r="G226" s="1" t="s">
        <v>23</v>
      </c>
      <c r="H226">
        <v>24565</v>
      </c>
      <c r="I226">
        <v>5</v>
      </c>
      <c r="J226">
        <v>2023</v>
      </c>
      <c r="K226" s="1" t="s">
        <v>870</v>
      </c>
      <c r="L226">
        <v>3</v>
      </c>
      <c r="M226" s="1">
        <v>122825</v>
      </c>
    </row>
    <row r="227" spans="1:13" x14ac:dyDescent="0.3">
      <c r="A227" s="1" t="s">
        <v>284</v>
      </c>
      <c r="B227" s="2">
        <v>44946</v>
      </c>
      <c r="C227" s="1" t="s">
        <v>31</v>
      </c>
      <c r="D227" s="1" t="s">
        <v>32</v>
      </c>
      <c r="E227" s="1" t="s">
        <v>36</v>
      </c>
      <c r="F227" s="1" t="s">
        <v>13</v>
      </c>
      <c r="G227" s="1" t="s">
        <v>40</v>
      </c>
      <c r="H227">
        <v>19630</v>
      </c>
      <c r="I227">
        <v>5</v>
      </c>
      <c r="J227">
        <v>2023</v>
      </c>
      <c r="K227" s="1" t="s">
        <v>868</v>
      </c>
      <c r="L227">
        <v>1</v>
      </c>
      <c r="M227" s="1">
        <v>98150</v>
      </c>
    </row>
    <row r="228" spans="1:13" x14ac:dyDescent="0.3">
      <c r="A228" s="1" t="s">
        <v>285</v>
      </c>
      <c r="B228" s="2">
        <v>44929</v>
      </c>
      <c r="C228" s="1" t="s">
        <v>10</v>
      </c>
      <c r="D228" s="1" t="s">
        <v>11</v>
      </c>
      <c r="E228" s="1" t="s">
        <v>29</v>
      </c>
      <c r="F228" s="1" t="s">
        <v>25</v>
      </c>
      <c r="G228" s="1" t="s">
        <v>40</v>
      </c>
      <c r="H228">
        <v>11824</v>
      </c>
      <c r="I228">
        <v>4</v>
      </c>
      <c r="J228">
        <v>2023</v>
      </c>
      <c r="K228" s="1" t="s">
        <v>868</v>
      </c>
      <c r="L228">
        <v>1</v>
      </c>
      <c r="M228" s="1">
        <v>47296</v>
      </c>
    </row>
    <row r="229" spans="1:13" x14ac:dyDescent="0.3">
      <c r="A229" s="1" t="s">
        <v>286</v>
      </c>
      <c r="B229" s="2">
        <v>45165</v>
      </c>
      <c r="C229" s="1" t="s">
        <v>137</v>
      </c>
      <c r="D229" s="1" t="s">
        <v>138</v>
      </c>
      <c r="E229" s="1" t="s">
        <v>12</v>
      </c>
      <c r="F229" s="1" t="s">
        <v>25</v>
      </c>
      <c r="G229" s="1" t="s">
        <v>14</v>
      </c>
      <c r="H229">
        <v>25164</v>
      </c>
      <c r="I229">
        <v>6</v>
      </c>
      <c r="J229">
        <v>2023</v>
      </c>
      <c r="K229" s="1" t="s">
        <v>874</v>
      </c>
      <c r="L229">
        <v>8</v>
      </c>
      <c r="M229" s="1">
        <v>150984</v>
      </c>
    </row>
    <row r="230" spans="1:13" x14ac:dyDescent="0.3">
      <c r="A230" s="1" t="s">
        <v>287</v>
      </c>
      <c r="B230" s="2">
        <v>44942</v>
      </c>
      <c r="C230" s="1" t="s">
        <v>61</v>
      </c>
      <c r="D230" s="1" t="s">
        <v>62</v>
      </c>
      <c r="E230" s="1" t="s">
        <v>12</v>
      </c>
      <c r="F230" s="1" t="s">
        <v>22</v>
      </c>
      <c r="G230" s="1" t="s">
        <v>23</v>
      </c>
      <c r="H230">
        <v>5205</v>
      </c>
      <c r="I230">
        <v>5</v>
      </c>
      <c r="J230">
        <v>2023</v>
      </c>
      <c r="K230" s="1" t="s">
        <v>868</v>
      </c>
      <c r="L230">
        <v>1</v>
      </c>
      <c r="M230" s="1">
        <v>26025</v>
      </c>
    </row>
    <row r="231" spans="1:13" x14ac:dyDescent="0.3">
      <c r="A231" s="1" t="s">
        <v>288</v>
      </c>
      <c r="B231" s="2">
        <v>44975</v>
      </c>
      <c r="C231" s="1" t="s">
        <v>16</v>
      </c>
      <c r="D231" s="1" t="s">
        <v>17</v>
      </c>
      <c r="E231" s="1" t="s">
        <v>29</v>
      </c>
      <c r="F231" s="1" t="s">
        <v>13</v>
      </c>
      <c r="G231" s="1" t="s">
        <v>23</v>
      </c>
      <c r="H231">
        <v>13420</v>
      </c>
      <c r="I231">
        <v>4</v>
      </c>
      <c r="J231">
        <v>2023</v>
      </c>
      <c r="K231" s="1" t="s">
        <v>871</v>
      </c>
      <c r="L231">
        <v>2</v>
      </c>
      <c r="M231" s="1">
        <v>53680</v>
      </c>
    </row>
    <row r="232" spans="1:13" x14ac:dyDescent="0.3">
      <c r="A232" s="1" t="s">
        <v>289</v>
      </c>
      <c r="B232" s="2">
        <v>45282</v>
      </c>
      <c r="C232" s="1" t="s">
        <v>38</v>
      </c>
      <c r="D232" s="1" t="s">
        <v>39</v>
      </c>
      <c r="E232" s="1" t="s">
        <v>29</v>
      </c>
      <c r="F232" s="1" t="s">
        <v>13</v>
      </c>
      <c r="G232" s="1" t="s">
        <v>23</v>
      </c>
      <c r="H232">
        <v>8288</v>
      </c>
      <c r="I232">
        <v>8</v>
      </c>
      <c r="J232">
        <v>2023</v>
      </c>
      <c r="K232" s="1" t="s">
        <v>869</v>
      </c>
      <c r="L232">
        <v>12</v>
      </c>
      <c r="M232" s="1">
        <v>66304</v>
      </c>
    </row>
    <row r="233" spans="1:13" x14ac:dyDescent="0.3">
      <c r="A233" s="1" t="s">
        <v>290</v>
      </c>
      <c r="B233" s="2">
        <v>45260</v>
      </c>
      <c r="C233" s="1" t="s">
        <v>47</v>
      </c>
      <c r="D233" s="1" t="s">
        <v>48</v>
      </c>
      <c r="E233" s="1" t="s">
        <v>12</v>
      </c>
      <c r="F233" s="1" t="s">
        <v>22</v>
      </c>
      <c r="G233" s="1" t="s">
        <v>23</v>
      </c>
      <c r="H233">
        <v>43335</v>
      </c>
      <c r="I233">
        <v>9</v>
      </c>
      <c r="J233">
        <v>2023</v>
      </c>
      <c r="K233" s="1" t="s">
        <v>873</v>
      </c>
      <c r="L233">
        <v>11</v>
      </c>
      <c r="M233" s="1">
        <v>390015</v>
      </c>
    </row>
    <row r="234" spans="1:13" x14ac:dyDescent="0.3">
      <c r="A234" s="1" t="s">
        <v>291</v>
      </c>
      <c r="B234" s="2">
        <v>44930</v>
      </c>
      <c r="C234" s="1" t="s">
        <v>77</v>
      </c>
      <c r="D234" s="1" t="s">
        <v>78</v>
      </c>
      <c r="E234" s="1" t="s">
        <v>12</v>
      </c>
      <c r="F234" s="1" t="s">
        <v>25</v>
      </c>
      <c r="G234" s="1" t="s">
        <v>14</v>
      </c>
      <c r="H234">
        <v>3844</v>
      </c>
      <c r="I234">
        <v>1</v>
      </c>
      <c r="J234">
        <v>2023</v>
      </c>
      <c r="K234" s="1" t="s">
        <v>868</v>
      </c>
      <c r="L234">
        <v>1</v>
      </c>
      <c r="M234" s="1">
        <v>3844</v>
      </c>
    </row>
    <row r="235" spans="1:13" x14ac:dyDescent="0.3">
      <c r="A235" s="1" t="s">
        <v>292</v>
      </c>
      <c r="B235" s="2">
        <v>44994</v>
      </c>
      <c r="C235" s="1" t="s">
        <v>34</v>
      </c>
      <c r="D235" s="1" t="s">
        <v>35</v>
      </c>
      <c r="E235" s="1" t="s">
        <v>12</v>
      </c>
      <c r="F235" s="1" t="s">
        <v>13</v>
      </c>
      <c r="G235" s="1" t="s">
        <v>23</v>
      </c>
      <c r="H235">
        <v>14390</v>
      </c>
      <c r="I235">
        <v>10</v>
      </c>
      <c r="J235">
        <v>2023</v>
      </c>
      <c r="K235" s="1" t="s">
        <v>870</v>
      </c>
      <c r="L235">
        <v>3</v>
      </c>
      <c r="M235" s="1">
        <v>143900</v>
      </c>
    </row>
    <row r="236" spans="1:13" x14ac:dyDescent="0.3">
      <c r="A236" s="1" t="s">
        <v>293</v>
      </c>
      <c r="B236" s="2">
        <v>45020</v>
      </c>
      <c r="C236" s="1" t="s">
        <v>31</v>
      </c>
      <c r="D236" s="1" t="s">
        <v>32</v>
      </c>
      <c r="E236" s="1" t="s">
        <v>29</v>
      </c>
      <c r="F236" s="1" t="s">
        <v>22</v>
      </c>
      <c r="G236" s="1" t="s">
        <v>14</v>
      </c>
      <c r="H236">
        <v>6228</v>
      </c>
      <c r="I236">
        <v>3</v>
      </c>
      <c r="J236">
        <v>2023</v>
      </c>
      <c r="K236" s="1" t="s">
        <v>867</v>
      </c>
      <c r="L236">
        <v>4</v>
      </c>
      <c r="M236" s="1">
        <v>18684</v>
      </c>
    </row>
    <row r="237" spans="1:13" x14ac:dyDescent="0.3">
      <c r="A237" s="1" t="s">
        <v>294</v>
      </c>
      <c r="B237" s="2">
        <v>44998</v>
      </c>
      <c r="C237" s="1" t="s">
        <v>10</v>
      </c>
      <c r="D237" s="1" t="s">
        <v>11</v>
      </c>
      <c r="E237" s="1" t="s">
        <v>29</v>
      </c>
      <c r="F237" s="1" t="s">
        <v>13</v>
      </c>
      <c r="G237" s="1" t="s">
        <v>14</v>
      </c>
      <c r="H237">
        <v>17118</v>
      </c>
      <c r="I237">
        <v>9</v>
      </c>
      <c r="J237">
        <v>2023</v>
      </c>
      <c r="K237" s="1" t="s">
        <v>870</v>
      </c>
      <c r="L237">
        <v>3</v>
      </c>
      <c r="M237" s="1">
        <v>154062</v>
      </c>
    </row>
    <row r="238" spans="1:13" x14ac:dyDescent="0.3">
      <c r="A238" s="1" t="s">
        <v>295</v>
      </c>
      <c r="B238" s="2">
        <v>45095</v>
      </c>
      <c r="C238" s="1" t="s">
        <v>73</v>
      </c>
      <c r="D238" s="1" t="s">
        <v>74</v>
      </c>
      <c r="E238" s="1" t="s">
        <v>29</v>
      </c>
      <c r="F238" s="1" t="s">
        <v>25</v>
      </c>
      <c r="G238" s="1" t="s">
        <v>23</v>
      </c>
      <c r="H238">
        <v>11956</v>
      </c>
      <c r="I238">
        <v>4</v>
      </c>
      <c r="J238">
        <v>2023</v>
      </c>
      <c r="K238" s="1" t="s">
        <v>863</v>
      </c>
      <c r="L238">
        <v>6</v>
      </c>
      <c r="M238" s="1">
        <v>47824</v>
      </c>
    </row>
    <row r="239" spans="1:13" x14ac:dyDescent="0.3">
      <c r="A239" s="1" t="s">
        <v>296</v>
      </c>
      <c r="B239" s="2">
        <v>45054</v>
      </c>
      <c r="C239" s="1" t="s">
        <v>10</v>
      </c>
      <c r="D239" s="1" t="s">
        <v>11</v>
      </c>
      <c r="E239" s="1" t="s">
        <v>29</v>
      </c>
      <c r="F239" s="1" t="s">
        <v>25</v>
      </c>
      <c r="G239" s="1" t="s">
        <v>14</v>
      </c>
      <c r="H239">
        <v>4642</v>
      </c>
      <c r="I239">
        <v>1</v>
      </c>
      <c r="J239">
        <v>2023</v>
      </c>
      <c r="K239" s="1" t="s">
        <v>872</v>
      </c>
      <c r="L239">
        <v>5</v>
      </c>
      <c r="M239" s="1">
        <v>4642</v>
      </c>
    </row>
    <row r="240" spans="1:13" x14ac:dyDescent="0.3">
      <c r="A240" s="1" t="s">
        <v>297</v>
      </c>
      <c r="B240" s="2">
        <v>45161</v>
      </c>
      <c r="C240" s="1" t="s">
        <v>47</v>
      </c>
      <c r="D240" s="1" t="s">
        <v>48</v>
      </c>
      <c r="E240" s="1" t="s">
        <v>29</v>
      </c>
      <c r="F240" s="1" t="s">
        <v>13</v>
      </c>
      <c r="G240" s="1" t="s">
        <v>14</v>
      </c>
      <c r="H240">
        <v>3363</v>
      </c>
      <c r="I240">
        <v>3</v>
      </c>
      <c r="J240">
        <v>2023</v>
      </c>
      <c r="K240" s="1" t="s">
        <v>874</v>
      </c>
      <c r="L240">
        <v>8</v>
      </c>
      <c r="M240" s="1">
        <v>10089</v>
      </c>
    </row>
    <row r="241" spans="1:13" x14ac:dyDescent="0.3">
      <c r="A241" s="1" t="s">
        <v>298</v>
      </c>
      <c r="B241" s="2">
        <v>45089</v>
      </c>
      <c r="C241" s="1" t="s">
        <v>34</v>
      </c>
      <c r="D241" s="1" t="s">
        <v>35</v>
      </c>
      <c r="E241" s="1" t="s">
        <v>29</v>
      </c>
      <c r="F241" s="1" t="s">
        <v>13</v>
      </c>
      <c r="G241" s="1" t="s">
        <v>23</v>
      </c>
      <c r="H241">
        <v>7304</v>
      </c>
      <c r="I241">
        <v>8</v>
      </c>
      <c r="J241">
        <v>2023</v>
      </c>
      <c r="K241" s="1" t="s">
        <v>863</v>
      </c>
      <c r="L241">
        <v>6</v>
      </c>
      <c r="M241" s="1">
        <v>58432</v>
      </c>
    </row>
    <row r="242" spans="1:13" x14ac:dyDescent="0.3">
      <c r="A242" s="1" t="s">
        <v>299</v>
      </c>
      <c r="B242" s="2">
        <v>45075</v>
      </c>
      <c r="C242" s="1" t="s">
        <v>123</v>
      </c>
      <c r="D242" s="1" t="s">
        <v>124</v>
      </c>
      <c r="E242" s="1" t="s">
        <v>29</v>
      </c>
      <c r="F242" s="1" t="s">
        <v>13</v>
      </c>
      <c r="G242" s="1" t="s">
        <v>40</v>
      </c>
      <c r="H242">
        <v>37920</v>
      </c>
      <c r="I242">
        <v>10</v>
      </c>
      <c r="J242">
        <v>2023</v>
      </c>
      <c r="K242" s="1" t="s">
        <v>872</v>
      </c>
      <c r="L242">
        <v>5</v>
      </c>
      <c r="M242" s="1">
        <v>379200</v>
      </c>
    </row>
    <row r="243" spans="1:13" x14ac:dyDescent="0.3">
      <c r="A243" s="1" t="s">
        <v>300</v>
      </c>
      <c r="B243" s="2">
        <v>45274</v>
      </c>
      <c r="C243" s="1" t="s">
        <v>61</v>
      </c>
      <c r="D243" s="1" t="s">
        <v>62</v>
      </c>
      <c r="E243" s="1" t="s">
        <v>29</v>
      </c>
      <c r="F243" s="1" t="s">
        <v>18</v>
      </c>
      <c r="G243" s="1" t="s">
        <v>40</v>
      </c>
      <c r="H243">
        <v>14686</v>
      </c>
      <c r="I243">
        <v>7</v>
      </c>
      <c r="J243">
        <v>2023</v>
      </c>
      <c r="K243" s="1" t="s">
        <v>869</v>
      </c>
      <c r="L243">
        <v>12</v>
      </c>
      <c r="M243" s="1">
        <v>102802</v>
      </c>
    </row>
    <row r="244" spans="1:13" x14ac:dyDescent="0.3">
      <c r="A244" s="1" t="s">
        <v>301</v>
      </c>
      <c r="B244" s="2">
        <v>45065</v>
      </c>
      <c r="C244" s="1" t="s">
        <v>123</v>
      </c>
      <c r="D244" s="1" t="s">
        <v>124</v>
      </c>
      <c r="E244" s="1" t="s">
        <v>36</v>
      </c>
      <c r="F244" s="1" t="s">
        <v>13</v>
      </c>
      <c r="G244" s="1" t="s">
        <v>40</v>
      </c>
      <c r="H244">
        <v>11718</v>
      </c>
      <c r="I244">
        <v>7</v>
      </c>
      <c r="J244">
        <v>2023</v>
      </c>
      <c r="K244" s="1" t="s">
        <v>872</v>
      </c>
      <c r="L244">
        <v>5</v>
      </c>
      <c r="M244" s="1">
        <v>82026</v>
      </c>
    </row>
    <row r="245" spans="1:13" x14ac:dyDescent="0.3">
      <c r="A245" s="1" t="s">
        <v>302</v>
      </c>
      <c r="B245" s="2">
        <v>45250</v>
      </c>
      <c r="C245" s="1" t="s">
        <v>34</v>
      </c>
      <c r="D245" s="1" t="s">
        <v>35</v>
      </c>
      <c r="E245" s="1" t="s">
        <v>29</v>
      </c>
      <c r="F245" s="1" t="s">
        <v>22</v>
      </c>
      <c r="G245" s="1" t="s">
        <v>14</v>
      </c>
      <c r="H245">
        <v>8289</v>
      </c>
      <c r="I245">
        <v>3</v>
      </c>
      <c r="J245">
        <v>2023</v>
      </c>
      <c r="K245" s="1" t="s">
        <v>873</v>
      </c>
      <c r="L245">
        <v>11</v>
      </c>
      <c r="M245" s="1">
        <v>24867</v>
      </c>
    </row>
    <row r="246" spans="1:13" x14ac:dyDescent="0.3">
      <c r="A246" s="1" t="s">
        <v>303</v>
      </c>
      <c r="B246" s="2">
        <v>44951</v>
      </c>
      <c r="C246" s="1" t="s">
        <v>77</v>
      </c>
      <c r="D246" s="1" t="s">
        <v>78</v>
      </c>
      <c r="E246" s="1" t="s">
        <v>36</v>
      </c>
      <c r="F246" s="1" t="s">
        <v>25</v>
      </c>
      <c r="G246" s="1" t="s">
        <v>40</v>
      </c>
      <c r="H246">
        <v>38610</v>
      </c>
      <c r="I246">
        <v>10</v>
      </c>
      <c r="J246">
        <v>2023</v>
      </c>
      <c r="K246" s="1" t="s">
        <v>868</v>
      </c>
      <c r="L246">
        <v>1</v>
      </c>
      <c r="M246" s="1">
        <v>386100</v>
      </c>
    </row>
    <row r="247" spans="1:13" x14ac:dyDescent="0.3">
      <c r="A247" s="1" t="s">
        <v>304</v>
      </c>
      <c r="B247" s="2">
        <v>45220</v>
      </c>
      <c r="C247" s="1" t="s">
        <v>123</v>
      </c>
      <c r="D247" s="1" t="s">
        <v>124</v>
      </c>
      <c r="E247" s="1" t="s">
        <v>12</v>
      </c>
      <c r="F247" s="1" t="s">
        <v>18</v>
      </c>
      <c r="G247" s="1" t="s">
        <v>14</v>
      </c>
      <c r="H247">
        <v>13104</v>
      </c>
      <c r="I247">
        <v>9</v>
      </c>
      <c r="J247">
        <v>2023</v>
      </c>
      <c r="K247" s="1" t="s">
        <v>865</v>
      </c>
      <c r="L247">
        <v>10</v>
      </c>
      <c r="M247" s="1">
        <v>117936</v>
      </c>
    </row>
    <row r="248" spans="1:13" x14ac:dyDescent="0.3">
      <c r="A248" s="1" t="s">
        <v>305</v>
      </c>
      <c r="B248" s="2">
        <v>44983</v>
      </c>
      <c r="C248" s="1" t="s">
        <v>64</v>
      </c>
      <c r="D248" s="1" t="s">
        <v>65</v>
      </c>
      <c r="E248" s="1" t="s">
        <v>12</v>
      </c>
      <c r="F248" s="1" t="s">
        <v>25</v>
      </c>
      <c r="G248" s="1" t="s">
        <v>40</v>
      </c>
      <c r="H248">
        <v>10570</v>
      </c>
      <c r="I248">
        <v>10</v>
      </c>
      <c r="J248">
        <v>2023</v>
      </c>
      <c r="K248" s="1" t="s">
        <v>871</v>
      </c>
      <c r="L248">
        <v>2</v>
      </c>
      <c r="M248" s="1">
        <v>105700</v>
      </c>
    </row>
    <row r="249" spans="1:13" x14ac:dyDescent="0.3">
      <c r="A249" s="1" t="s">
        <v>306</v>
      </c>
      <c r="B249" s="2">
        <v>45075</v>
      </c>
      <c r="C249" s="1" t="s">
        <v>16</v>
      </c>
      <c r="D249" s="1" t="s">
        <v>17</v>
      </c>
      <c r="E249" s="1" t="s">
        <v>12</v>
      </c>
      <c r="F249" s="1" t="s">
        <v>18</v>
      </c>
      <c r="G249" s="1" t="s">
        <v>23</v>
      </c>
      <c r="H249">
        <v>14732</v>
      </c>
      <c r="I249">
        <v>4</v>
      </c>
      <c r="J249">
        <v>2023</v>
      </c>
      <c r="K249" s="1" t="s">
        <v>872</v>
      </c>
      <c r="L249">
        <v>5</v>
      </c>
      <c r="M249" s="1">
        <v>58928</v>
      </c>
    </row>
    <row r="250" spans="1:13" x14ac:dyDescent="0.3">
      <c r="A250" s="1" t="s">
        <v>307</v>
      </c>
      <c r="B250" s="2">
        <v>44956</v>
      </c>
      <c r="C250" s="1" t="s">
        <v>10</v>
      </c>
      <c r="D250" s="1" t="s">
        <v>11</v>
      </c>
      <c r="E250" s="1" t="s">
        <v>29</v>
      </c>
      <c r="F250" s="1" t="s">
        <v>18</v>
      </c>
      <c r="G250" s="1" t="s">
        <v>14</v>
      </c>
      <c r="H250">
        <v>39200</v>
      </c>
      <c r="I250">
        <v>8</v>
      </c>
      <c r="J250">
        <v>2023</v>
      </c>
      <c r="K250" s="1" t="s">
        <v>868</v>
      </c>
      <c r="L250">
        <v>1</v>
      </c>
      <c r="M250" s="1">
        <v>313600</v>
      </c>
    </row>
    <row r="251" spans="1:13" x14ac:dyDescent="0.3">
      <c r="A251" s="1" t="s">
        <v>308</v>
      </c>
      <c r="B251" s="2">
        <v>45058</v>
      </c>
      <c r="C251" s="1" t="s">
        <v>43</v>
      </c>
      <c r="D251" s="1" t="s">
        <v>44</v>
      </c>
      <c r="E251" s="1" t="s">
        <v>12</v>
      </c>
      <c r="F251" s="1" t="s">
        <v>22</v>
      </c>
      <c r="G251" s="1" t="s">
        <v>40</v>
      </c>
      <c r="H251">
        <v>7580</v>
      </c>
      <c r="I251">
        <v>5</v>
      </c>
      <c r="J251">
        <v>2023</v>
      </c>
      <c r="K251" s="1" t="s">
        <v>872</v>
      </c>
      <c r="L251">
        <v>5</v>
      </c>
      <c r="M251" s="1">
        <v>37900</v>
      </c>
    </row>
    <row r="252" spans="1:13" x14ac:dyDescent="0.3">
      <c r="A252" s="1" t="s">
        <v>309</v>
      </c>
      <c r="B252" s="2">
        <v>45036</v>
      </c>
      <c r="C252" s="1" t="s">
        <v>27</v>
      </c>
      <c r="D252" s="1" t="s">
        <v>28</v>
      </c>
      <c r="E252" s="1" t="s">
        <v>12</v>
      </c>
      <c r="F252" s="1" t="s">
        <v>13</v>
      </c>
      <c r="G252" s="1" t="s">
        <v>23</v>
      </c>
      <c r="H252">
        <v>12808</v>
      </c>
      <c r="I252">
        <v>4</v>
      </c>
      <c r="J252">
        <v>2023</v>
      </c>
      <c r="K252" s="1" t="s">
        <v>867</v>
      </c>
      <c r="L252">
        <v>4</v>
      </c>
      <c r="M252" s="1">
        <v>51232</v>
      </c>
    </row>
    <row r="253" spans="1:13" x14ac:dyDescent="0.3">
      <c r="A253" s="1" t="s">
        <v>310</v>
      </c>
      <c r="B253" s="2">
        <v>45034</v>
      </c>
      <c r="C253" s="1" t="s">
        <v>64</v>
      </c>
      <c r="D253" s="1" t="s">
        <v>65</v>
      </c>
      <c r="E253" s="1" t="s">
        <v>12</v>
      </c>
      <c r="F253" s="1" t="s">
        <v>18</v>
      </c>
      <c r="G253" s="1" t="s">
        <v>23</v>
      </c>
      <c r="H253">
        <v>6748</v>
      </c>
      <c r="I253">
        <v>4</v>
      </c>
      <c r="J253">
        <v>2023</v>
      </c>
      <c r="K253" s="1" t="s">
        <v>867</v>
      </c>
      <c r="L253">
        <v>4</v>
      </c>
      <c r="M253" s="1">
        <v>26992</v>
      </c>
    </row>
    <row r="254" spans="1:13" x14ac:dyDescent="0.3">
      <c r="A254" s="1" t="s">
        <v>311</v>
      </c>
      <c r="B254" s="2">
        <v>45129</v>
      </c>
      <c r="C254" s="1" t="s">
        <v>64</v>
      </c>
      <c r="D254" s="1" t="s">
        <v>65</v>
      </c>
      <c r="E254" s="1" t="s">
        <v>29</v>
      </c>
      <c r="F254" s="1" t="s">
        <v>18</v>
      </c>
      <c r="G254" s="1" t="s">
        <v>40</v>
      </c>
      <c r="H254">
        <v>16290</v>
      </c>
      <c r="I254">
        <v>6</v>
      </c>
      <c r="J254">
        <v>2023</v>
      </c>
      <c r="K254" s="1" t="s">
        <v>864</v>
      </c>
      <c r="L254">
        <v>7</v>
      </c>
      <c r="M254" s="1">
        <v>97740</v>
      </c>
    </row>
    <row r="255" spans="1:13" x14ac:dyDescent="0.3">
      <c r="A255" s="1" t="s">
        <v>312</v>
      </c>
      <c r="B255" s="2">
        <v>44942</v>
      </c>
      <c r="C255" s="1" t="s">
        <v>47</v>
      </c>
      <c r="D255" s="1" t="s">
        <v>48</v>
      </c>
      <c r="E255" s="1" t="s">
        <v>29</v>
      </c>
      <c r="F255" s="1" t="s">
        <v>13</v>
      </c>
      <c r="G255" s="1" t="s">
        <v>14</v>
      </c>
      <c r="H255">
        <v>17632</v>
      </c>
      <c r="I255">
        <v>8</v>
      </c>
      <c r="J255">
        <v>2023</v>
      </c>
      <c r="K255" s="1" t="s">
        <v>868</v>
      </c>
      <c r="L255">
        <v>1</v>
      </c>
      <c r="M255" s="1">
        <v>141056</v>
      </c>
    </row>
    <row r="256" spans="1:13" x14ac:dyDescent="0.3">
      <c r="A256" s="1" t="s">
        <v>313</v>
      </c>
      <c r="B256" s="2">
        <v>45043</v>
      </c>
      <c r="C256" s="1" t="s">
        <v>27</v>
      </c>
      <c r="D256" s="1" t="s">
        <v>28</v>
      </c>
      <c r="E256" s="1" t="s">
        <v>36</v>
      </c>
      <c r="F256" s="1" t="s">
        <v>18</v>
      </c>
      <c r="G256" s="1" t="s">
        <v>23</v>
      </c>
      <c r="H256">
        <v>26068</v>
      </c>
      <c r="I256">
        <v>7</v>
      </c>
      <c r="J256">
        <v>2023</v>
      </c>
      <c r="K256" s="1" t="s">
        <v>867</v>
      </c>
      <c r="L256">
        <v>4</v>
      </c>
      <c r="M256" s="1">
        <v>182476</v>
      </c>
    </row>
    <row r="257" spans="1:13" x14ac:dyDescent="0.3">
      <c r="A257" s="1" t="s">
        <v>314</v>
      </c>
      <c r="B257" s="2">
        <v>45028</v>
      </c>
      <c r="C257" s="1" t="s">
        <v>20</v>
      </c>
      <c r="D257" s="1" t="s">
        <v>21</v>
      </c>
      <c r="E257" s="1" t="s">
        <v>12</v>
      </c>
      <c r="F257" s="1" t="s">
        <v>25</v>
      </c>
      <c r="G257" s="1" t="s">
        <v>14</v>
      </c>
      <c r="H257">
        <v>8010</v>
      </c>
      <c r="I257">
        <v>6</v>
      </c>
      <c r="J257">
        <v>2023</v>
      </c>
      <c r="K257" s="1" t="s">
        <v>867</v>
      </c>
      <c r="L257">
        <v>4</v>
      </c>
      <c r="M257" s="1">
        <v>48060</v>
      </c>
    </row>
    <row r="258" spans="1:13" x14ac:dyDescent="0.3">
      <c r="A258" s="1" t="s">
        <v>315</v>
      </c>
      <c r="B258" s="2">
        <v>45280</v>
      </c>
      <c r="C258" s="1" t="s">
        <v>123</v>
      </c>
      <c r="D258" s="1" t="s">
        <v>124</v>
      </c>
      <c r="E258" s="1" t="s">
        <v>36</v>
      </c>
      <c r="F258" s="1" t="s">
        <v>18</v>
      </c>
      <c r="G258" s="1" t="s">
        <v>40</v>
      </c>
      <c r="H258">
        <v>8793</v>
      </c>
      <c r="I258">
        <v>9</v>
      </c>
      <c r="J258">
        <v>2023</v>
      </c>
      <c r="K258" s="1" t="s">
        <v>869</v>
      </c>
      <c r="L258">
        <v>12</v>
      </c>
      <c r="M258" s="1">
        <v>79137</v>
      </c>
    </row>
    <row r="259" spans="1:13" x14ac:dyDescent="0.3">
      <c r="A259" s="1" t="s">
        <v>316</v>
      </c>
      <c r="B259" s="2">
        <v>45188</v>
      </c>
      <c r="C259" s="1" t="s">
        <v>47</v>
      </c>
      <c r="D259" s="1" t="s">
        <v>48</v>
      </c>
      <c r="E259" s="1" t="s">
        <v>36</v>
      </c>
      <c r="F259" s="1" t="s">
        <v>25</v>
      </c>
      <c r="G259" s="1" t="s">
        <v>23</v>
      </c>
      <c r="H259">
        <v>9640</v>
      </c>
      <c r="I259">
        <v>2</v>
      </c>
      <c r="J259">
        <v>2023</v>
      </c>
      <c r="K259" s="1" t="s">
        <v>866</v>
      </c>
      <c r="L259">
        <v>9</v>
      </c>
      <c r="M259" s="1">
        <v>19280</v>
      </c>
    </row>
    <row r="260" spans="1:13" x14ac:dyDescent="0.3">
      <c r="A260" s="1" t="s">
        <v>317</v>
      </c>
      <c r="B260" s="2">
        <v>45184</v>
      </c>
      <c r="C260" s="1" t="s">
        <v>61</v>
      </c>
      <c r="D260" s="1" t="s">
        <v>62</v>
      </c>
      <c r="E260" s="1" t="s">
        <v>29</v>
      </c>
      <c r="F260" s="1" t="s">
        <v>25</v>
      </c>
      <c r="G260" s="1" t="s">
        <v>23</v>
      </c>
      <c r="H260">
        <v>7650</v>
      </c>
      <c r="I260">
        <v>5</v>
      </c>
      <c r="J260">
        <v>2023</v>
      </c>
      <c r="K260" s="1" t="s">
        <v>866</v>
      </c>
      <c r="L260">
        <v>9</v>
      </c>
      <c r="M260" s="1">
        <v>38250</v>
      </c>
    </row>
    <row r="261" spans="1:13" x14ac:dyDescent="0.3">
      <c r="A261" s="1" t="s">
        <v>318</v>
      </c>
      <c r="B261" s="2">
        <v>45016</v>
      </c>
      <c r="C261" s="1" t="s">
        <v>10</v>
      </c>
      <c r="D261" s="1" t="s">
        <v>11</v>
      </c>
      <c r="E261" s="1" t="s">
        <v>12</v>
      </c>
      <c r="F261" s="1" t="s">
        <v>25</v>
      </c>
      <c r="G261" s="1" t="s">
        <v>23</v>
      </c>
      <c r="H261">
        <v>2988</v>
      </c>
      <c r="I261">
        <v>1</v>
      </c>
      <c r="J261">
        <v>2023</v>
      </c>
      <c r="K261" s="1" t="s">
        <v>870</v>
      </c>
      <c r="L261">
        <v>3</v>
      </c>
      <c r="M261" s="1">
        <v>2988</v>
      </c>
    </row>
    <row r="262" spans="1:13" x14ac:dyDescent="0.3">
      <c r="A262" s="1" t="s">
        <v>319</v>
      </c>
      <c r="B262" s="2">
        <v>44939</v>
      </c>
      <c r="C262" s="1" t="s">
        <v>27</v>
      </c>
      <c r="D262" s="1" t="s">
        <v>28</v>
      </c>
      <c r="E262" s="1" t="s">
        <v>29</v>
      </c>
      <c r="F262" s="1" t="s">
        <v>25</v>
      </c>
      <c r="G262" s="1" t="s">
        <v>14</v>
      </c>
      <c r="H262">
        <v>14890</v>
      </c>
      <c r="I262">
        <v>10</v>
      </c>
      <c r="J262">
        <v>2023</v>
      </c>
      <c r="K262" s="1" t="s">
        <v>868</v>
      </c>
      <c r="L262">
        <v>1</v>
      </c>
      <c r="M262" s="1">
        <v>148900</v>
      </c>
    </row>
    <row r="263" spans="1:13" x14ac:dyDescent="0.3">
      <c r="A263" s="1" t="s">
        <v>320</v>
      </c>
      <c r="B263" s="2">
        <v>45235</v>
      </c>
      <c r="C263" s="1" t="s">
        <v>10</v>
      </c>
      <c r="D263" s="1" t="s">
        <v>11</v>
      </c>
      <c r="E263" s="1" t="s">
        <v>12</v>
      </c>
      <c r="F263" s="1" t="s">
        <v>25</v>
      </c>
      <c r="G263" s="1" t="s">
        <v>23</v>
      </c>
      <c r="H263">
        <v>27348</v>
      </c>
      <c r="I263">
        <v>6</v>
      </c>
      <c r="J263">
        <v>2023</v>
      </c>
      <c r="K263" s="1" t="s">
        <v>873</v>
      </c>
      <c r="L263">
        <v>11</v>
      </c>
      <c r="M263" s="1">
        <v>164088</v>
      </c>
    </row>
    <row r="264" spans="1:13" x14ac:dyDescent="0.3">
      <c r="A264" s="1" t="s">
        <v>321</v>
      </c>
      <c r="B264" s="2">
        <v>45116</v>
      </c>
      <c r="C264" s="1" t="s">
        <v>123</v>
      </c>
      <c r="D264" s="1" t="s">
        <v>124</v>
      </c>
      <c r="E264" s="1" t="s">
        <v>36</v>
      </c>
      <c r="F264" s="1" t="s">
        <v>18</v>
      </c>
      <c r="G264" s="1" t="s">
        <v>40</v>
      </c>
      <c r="H264">
        <v>2198</v>
      </c>
      <c r="I264">
        <v>2</v>
      </c>
      <c r="J264">
        <v>2023</v>
      </c>
      <c r="K264" s="1" t="s">
        <v>864</v>
      </c>
      <c r="L264">
        <v>7</v>
      </c>
      <c r="M264" s="1">
        <v>4396</v>
      </c>
    </row>
    <row r="265" spans="1:13" x14ac:dyDescent="0.3">
      <c r="A265" s="1" t="s">
        <v>322</v>
      </c>
      <c r="B265" s="2">
        <v>45196</v>
      </c>
      <c r="C265" s="1" t="s">
        <v>50</v>
      </c>
      <c r="D265" s="1" t="s">
        <v>51</v>
      </c>
      <c r="E265" s="1" t="s">
        <v>29</v>
      </c>
      <c r="F265" s="1" t="s">
        <v>18</v>
      </c>
      <c r="G265" s="1" t="s">
        <v>40</v>
      </c>
      <c r="H265">
        <v>9184</v>
      </c>
      <c r="I265">
        <v>8</v>
      </c>
      <c r="J265">
        <v>2023</v>
      </c>
      <c r="K265" s="1" t="s">
        <v>866</v>
      </c>
      <c r="L265">
        <v>9</v>
      </c>
      <c r="M265" s="1">
        <v>73472</v>
      </c>
    </row>
    <row r="266" spans="1:13" x14ac:dyDescent="0.3">
      <c r="A266" s="1" t="s">
        <v>323</v>
      </c>
      <c r="B266" s="2">
        <v>45199</v>
      </c>
      <c r="C266" s="1" t="s">
        <v>67</v>
      </c>
      <c r="D266" s="1" t="s">
        <v>68</v>
      </c>
      <c r="E266" s="1" t="s">
        <v>12</v>
      </c>
      <c r="F266" s="1" t="s">
        <v>25</v>
      </c>
      <c r="G266" s="1" t="s">
        <v>14</v>
      </c>
      <c r="H266">
        <v>29008</v>
      </c>
      <c r="I266">
        <v>8</v>
      </c>
      <c r="J266">
        <v>2023</v>
      </c>
      <c r="K266" s="1" t="s">
        <v>866</v>
      </c>
      <c r="L266">
        <v>9</v>
      </c>
      <c r="M266" s="1">
        <v>232064</v>
      </c>
    </row>
    <row r="267" spans="1:13" x14ac:dyDescent="0.3">
      <c r="A267" s="1" t="s">
        <v>324</v>
      </c>
      <c r="B267" s="2">
        <v>45004</v>
      </c>
      <c r="C267" s="1" t="s">
        <v>109</v>
      </c>
      <c r="D267" s="1" t="s">
        <v>110</v>
      </c>
      <c r="E267" s="1" t="s">
        <v>36</v>
      </c>
      <c r="F267" s="1" t="s">
        <v>18</v>
      </c>
      <c r="G267" s="1" t="s">
        <v>23</v>
      </c>
      <c r="H267">
        <v>29772</v>
      </c>
      <c r="I267">
        <v>9</v>
      </c>
      <c r="J267">
        <v>2023</v>
      </c>
      <c r="K267" s="1" t="s">
        <v>870</v>
      </c>
      <c r="L267">
        <v>3</v>
      </c>
      <c r="M267" s="1">
        <v>267948</v>
      </c>
    </row>
    <row r="268" spans="1:13" x14ac:dyDescent="0.3">
      <c r="A268" s="1" t="s">
        <v>325</v>
      </c>
      <c r="B268" s="2">
        <v>45138</v>
      </c>
      <c r="C268" s="1" t="s">
        <v>47</v>
      </c>
      <c r="D268" s="1" t="s">
        <v>48</v>
      </c>
      <c r="E268" s="1" t="s">
        <v>36</v>
      </c>
      <c r="F268" s="1" t="s">
        <v>13</v>
      </c>
      <c r="G268" s="1" t="s">
        <v>14</v>
      </c>
      <c r="H268">
        <v>7749</v>
      </c>
      <c r="I268">
        <v>3</v>
      </c>
      <c r="J268">
        <v>2023</v>
      </c>
      <c r="K268" s="1" t="s">
        <v>864</v>
      </c>
      <c r="L268">
        <v>7</v>
      </c>
      <c r="M268" s="1">
        <v>23247</v>
      </c>
    </row>
    <row r="269" spans="1:13" x14ac:dyDescent="0.3">
      <c r="A269" s="1" t="s">
        <v>326</v>
      </c>
      <c r="B269" s="2">
        <v>45054</v>
      </c>
      <c r="C269" s="1" t="s">
        <v>64</v>
      </c>
      <c r="D269" s="1" t="s">
        <v>65</v>
      </c>
      <c r="E269" s="1" t="s">
        <v>36</v>
      </c>
      <c r="F269" s="1" t="s">
        <v>22</v>
      </c>
      <c r="G269" s="1" t="s">
        <v>14</v>
      </c>
      <c r="H269">
        <v>13494</v>
      </c>
      <c r="I269">
        <v>6</v>
      </c>
      <c r="J269">
        <v>2023</v>
      </c>
      <c r="K269" s="1" t="s">
        <v>872</v>
      </c>
      <c r="L269">
        <v>5</v>
      </c>
      <c r="M269" s="1">
        <v>80964</v>
      </c>
    </row>
    <row r="270" spans="1:13" x14ac:dyDescent="0.3">
      <c r="A270" s="1" t="s">
        <v>327</v>
      </c>
      <c r="B270" s="2">
        <v>45032</v>
      </c>
      <c r="C270" s="1" t="s">
        <v>34</v>
      </c>
      <c r="D270" s="1" t="s">
        <v>35</v>
      </c>
      <c r="E270" s="1" t="s">
        <v>12</v>
      </c>
      <c r="F270" s="1" t="s">
        <v>13</v>
      </c>
      <c r="G270" s="1" t="s">
        <v>14</v>
      </c>
      <c r="H270">
        <v>4382</v>
      </c>
      <c r="I270">
        <v>1</v>
      </c>
      <c r="J270">
        <v>2023</v>
      </c>
      <c r="K270" s="1" t="s">
        <v>867</v>
      </c>
      <c r="L270">
        <v>4</v>
      </c>
      <c r="M270" s="1">
        <v>4382</v>
      </c>
    </row>
    <row r="271" spans="1:13" x14ac:dyDescent="0.3">
      <c r="A271" s="1" t="s">
        <v>328</v>
      </c>
      <c r="B271" s="2">
        <v>45145</v>
      </c>
      <c r="C271" s="1" t="s">
        <v>73</v>
      </c>
      <c r="D271" s="1" t="s">
        <v>74</v>
      </c>
      <c r="E271" s="1" t="s">
        <v>36</v>
      </c>
      <c r="F271" s="1" t="s">
        <v>25</v>
      </c>
      <c r="G271" s="1" t="s">
        <v>14</v>
      </c>
      <c r="H271">
        <v>9968</v>
      </c>
      <c r="I271">
        <v>2</v>
      </c>
      <c r="J271">
        <v>2023</v>
      </c>
      <c r="K271" s="1" t="s">
        <v>874</v>
      </c>
      <c r="L271">
        <v>8</v>
      </c>
      <c r="M271" s="1">
        <v>19936</v>
      </c>
    </row>
    <row r="272" spans="1:13" x14ac:dyDescent="0.3">
      <c r="A272" s="1" t="s">
        <v>329</v>
      </c>
      <c r="B272" s="2">
        <v>45130</v>
      </c>
      <c r="C272" s="1" t="s">
        <v>73</v>
      </c>
      <c r="D272" s="1" t="s">
        <v>74</v>
      </c>
      <c r="E272" s="1" t="s">
        <v>12</v>
      </c>
      <c r="F272" s="1" t="s">
        <v>25</v>
      </c>
      <c r="G272" s="1" t="s">
        <v>23</v>
      </c>
      <c r="H272">
        <v>13278</v>
      </c>
      <c r="I272">
        <v>6</v>
      </c>
      <c r="J272">
        <v>2023</v>
      </c>
      <c r="K272" s="1" t="s">
        <v>864</v>
      </c>
      <c r="L272">
        <v>7</v>
      </c>
      <c r="M272" s="1">
        <v>79668</v>
      </c>
    </row>
    <row r="273" spans="1:13" x14ac:dyDescent="0.3">
      <c r="A273" s="1" t="s">
        <v>330</v>
      </c>
      <c r="B273" s="2">
        <v>45256</v>
      </c>
      <c r="C273" s="1" t="s">
        <v>67</v>
      </c>
      <c r="D273" s="1" t="s">
        <v>68</v>
      </c>
      <c r="E273" s="1" t="s">
        <v>29</v>
      </c>
      <c r="F273" s="1" t="s">
        <v>22</v>
      </c>
      <c r="G273" s="1" t="s">
        <v>23</v>
      </c>
      <c r="H273">
        <v>18144</v>
      </c>
      <c r="I273">
        <v>8</v>
      </c>
      <c r="J273">
        <v>2023</v>
      </c>
      <c r="K273" s="1" t="s">
        <v>873</v>
      </c>
      <c r="L273">
        <v>11</v>
      </c>
      <c r="M273" s="1">
        <v>145152</v>
      </c>
    </row>
    <row r="274" spans="1:13" x14ac:dyDescent="0.3">
      <c r="A274" s="1" t="s">
        <v>331</v>
      </c>
      <c r="B274" s="2">
        <v>45280</v>
      </c>
      <c r="C274" s="1" t="s">
        <v>20</v>
      </c>
      <c r="D274" s="1" t="s">
        <v>21</v>
      </c>
      <c r="E274" s="1" t="s">
        <v>36</v>
      </c>
      <c r="F274" s="1" t="s">
        <v>25</v>
      </c>
      <c r="G274" s="1" t="s">
        <v>23</v>
      </c>
      <c r="H274">
        <v>15210</v>
      </c>
      <c r="I274">
        <v>5</v>
      </c>
      <c r="J274">
        <v>2023</v>
      </c>
      <c r="K274" s="1" t="s">
        <v>869</v>
      </c>
      <c r="L274">
        <v>12</v>
      </c>
      <c r="M274" s="1">
        <v>76050</v>
      </c>
    </row>
    <row r="275" spans="1:13" x14ac:dyDescent="0.3">
      <c r="A275" s="1" t="s">
        <v>332</v>
      </c>
      <c r="B275" s="2">
        <v>45191</v>
      </c>
      <c r="C275" s="1" t="s">
        <v>20</v>
      </c>
      <c r="D275" s="1" t="s">
        <v>21</v>
      </c>
      <c r="E275" s="1" t="s">
        <v>29</v>
      </c>
      <c r="F275" s="1" t="s">
        <v>18</v>
      </c>
      <c r="G275" s="1" t="s">
        <v>14</v>
      </c>
      <c r="H275">
        <v>4651</v>
      </c>
      <c r="I275">
        <v>1</v>
      </c>
      <c r="J275">
        <v>2023</v>
      </c>
      <c r="K275" s="1" t="s">
        <v>866</v>
      </c>
      <c r="L275">
        <v>9</v>
      </c>
      <c r="M275" s="1">
        <v>4651</v>
      </c>
    </row>
    <row r="276" spans="1:13" x14ac:dyDescent="0.3">
      <c r="A276" s="1" t="s">
        <v>333</v>
      </c>
      <c r="B276" s="2">
        <v>45111</v>
      </c>
      <c r="C276" s="1" t="s">
        <v>53</v>
      </c>
      <c r="D276" s="1" t="s">
        <v>54</v>
      </c>
      <c r="E276" s="1" t="s">
        <v>36</v>
      </c>
      <c r="F276" s="1" t="s">
        <v>25</v>
      </c>
      <c r="G276" s="1" t="s">
        <v>23</v>
      </c>
      <c r="H276">
        <v>12180</v>
      </c>
      <c r="I276">
        <v>10</v>
      </c>
      <c r="J276">
        <v>2023</v>
      </c>
      <c r="K276" s="1" t="s">
        <v>864</v>
      </c>
      <c r="L276">
        <v>7</v>
      </c>
      <c r="M276" s="1">
        <v>121800</v>
      </c>
    </row>
    <row r="277" spans="1:13" x14ac:dyDescent="0.3">
      <c r="A277" s="1" t="s">
        <v>334</v>
      </c>
      <c r="B277" s="2">
        <v>45094</v>
      </c>
      <c r="C277" s="1" t="s">
        <v>20</v>
      </c>
      <c r="D277" s="1" t="s">
        <v>21</v>
      </c>
      <c r="E277" s="1" t="s">
        <v>36</v>
      </c>
      <c r="F277" s="1" t="s">
        <v>13</v>
      </c>
      <c r="G277" s="1" t="s">
        <v>23</v>
      </c>
      <c r="H277">
        <v>30087</v>
      </c>
      <c r="I277">
        <v>9</v>
      </c>
      <c r="J277">
        <v>2023</v>
      </c>
      <c r="K277" s="1" t="s">
        <v>863</v>
      </c>
      <c r="L277">
        <v>6</v>
      </c>
      <c r="M277" s="1">
        <v>270783</v>
      </c>
    </row>
    <row r="278" spans="1:13" x14ac:dyDescent="0.3">
      <c r="A278" s="1" t="s">
        <v>335</v>
      </c>
      <c r="B278" s="2">
        <v>44954</v>
      </c>
      <c r="C278" s="1" t="s">
        <v>53</v>
      </c>
      <c r="D278" s="1" t="s">
        <v>54</v>
      </c>
      <c r="E278" s="1" t="s">
        <v>29</v>
      </c>
      <c r="F278" s="1" t="s">
        <v>13</v>
      </c>
      <c r="G278" s="1" t="s">
        <v>14</v>
      </c>
      <c r="H278">
        <v>10952</v>
      </c>
      <c r="I278">
        <v>4</v>
      </c>
      <c r="J278">
        <v>2023</v>
      </c>
      <c r="K278" s="1" t="s">
        <v>868</v>
      </c>
      <c r="L278">
        <v>1</v>
      </c>
      <c r="M278" s="1">
        <v>43808</v>
      </c>
    </row>
    <row r="279" spans="1:13" x14ac:dyDescent="0.3">
      <c r="A279" s="1" t="s">
        <v>336</v>
      </c>
      <c r="B279" s="2">
        <v>45173</v>
      </c>
      <c r="C279" s="1" t="s">
        <v>43</v>
      </c>
      <c r="D279" s="1" t="s">
        <v>44</v>
      </c>
      <c r="E279" s="1" t="s">
        <v>29</v>
      </c>
      <c r="F279" s="1" t="s">
        <v>13</v>
      </c>
      <c r="G279" s="1" t="s">
        <v>40</v>
      </c>
      <c r="H279">
        <v>21970</v>
      </c>
      <c r="I279">
        <v>10</v>
      </c>
      <c r="J279">
        <v>2023</v>
      </c>
      <c r="K279" s="1" t="s">
        <v>866</v>
      </c>
      <c r="L279">
        <v>9</v>
      </c>
      <c r="M279" s="1">
        <v>219700</v>
      </c>
    </row>
    <row r="280" spans="1:13" x14ac:dyDescent="0.3">
      <c r="A280" s="1" t="s">
        <v>337</v>
      </c>
      <c r="B280" s="2">
        <v>44936</v>
      </c>
      <c r="C280" s="1" t="s">
        <v>50</v>
      </c>
      <c r="D280" s="1" t="s">
        <v>51</v>
      </c>
      <c r="E280" s="1" t="s">
        <v>12</v>
      </c>
      <c r="F280" s="1" t="s">
        <v>13</v>
      </c>
      <c r="G280" s="1" t="s">
        <v>14</v>
      </c>
      <c r="H280">
        <v>34390</v>
      </c>
      <c r="I280">
        <v>10</v>
      </c>
      <c r="J280">
        <v>2023</v>
      </c>
      <c r="K280" s="1" t="s">
        <v>868</v>
      </c>
      <c r="L280">
        <v>1</v>
      </c>
      <c r="M280" s="1">
        <v>343900</v>
      </c>
    </row>
    <row r="281" spans="1:13" x14ac:dyDescent="0.3">
      <c r="A281" s="1" t="s">
        <v>338</v>
      </c>
      <c r="B281" s="2">
        <v>45135</v>
      </c>
      <c r="C281" s="1" t="s">
        <v>34</v>
      </c>
      <c r="D281" s="1" t="s">
        <v>35</v>
      </c>
      <c r="E281" s="1" t="s">
        <v>29</v>
      </c>
      <c r="F281" s="1" t="s">
        <v>13</v>
      </c>
      <c r="G281" s="1" t="s">
        <v>23</v>
      </c>
      <c r="H281">
        <v>29169</v>
      </c>
      <c r="I281">
        <v>9</v>
      </c>
      <c r="J281">
        <v>2023</v>
      </c>
      <c r="K281" s="1" t="s">
        <v>864</v>
      </c>
      <c r="L281">
        <v>7</v>
      </c>
      <c r="M281" s="1">
        <v>262521</v>
      </c>
    </row>
    <row r="282" spans="1:13" x14ac:dyDescent="0.3">
      <c r="A282" s="1" t="s">
        <v>339</v>
      </c>
      <c r="B282" s="2">
        <v>44950</v>
      </c>
      <c r="C282" s="1" t="s">
        <v>50</v>
      </c>
      <c r="D282" s="1" t="s">
        <v>51</v>
      </c>
      <c r="E282" s="1" t="s">
        <v>36</v>
      </c>
      <c r="F282" s="1" t="s">
        <v>13</v>
      </c>
      <c r="G282" s="1" t="s">
        <v>14</v>
      </c>
      <c r="H282">
        <v>10566</v>
      </c>
      <c r="I282">
        <v>3</v>
      </c>
      <c r="J282">
        <v>2023</v>
      </c>
      <c r="K282" s="1" t="s">
        <v>868</v>
      </c>
      <c r="L282">
        <v>1</v>
      </c>
      <c r="M282" s="1">
        <v>31698</v>
      </c>
    </row>
    <row r="283" spans="1:13" x14ac:dyDescent="0.3">
      <c r="A283" s="1" t="s">
        <v>340</v>
      </c>
      <c r="B283" s="2">
        <v>45038</v>
      </c>
      <c r="C283" s="1" t="s">
        <v>137</v>
      </c>
      <c r="D283" s="1" t="s">
        <v>138</v>
      </c>
      <c r="E283" s="1" t="s">
        <v>36</v>
      </c>
      <c r="F283" s="1" t="s">
        <v>22</v>
      </c>
      <c r="G283" s="1" t="s">
        <v>40</v>
      </c>
      <c r="H283">
        <v>7980</v>
      </c>
      <c r="I283">
        <v>5</v>
      </c>
      <c r="J283">
        <v>2023</v>
      </c>
      <c r="K283" s="1" t="s">
        <v>867</v>
      </c>
      <c r="L283">
        <v>4</v>
      </c>
      <c r="M283" s="1">
        <v>39900</v>
      </c>
    </row>
    <row r="284" spans="1:13" x14ac:dyDescent="0.3">
      <c r="A284" s="1" t="s">
        <v>341</v>
      </c>
      <c r="B284" s="2">
        <v>45174</v>
      </c>
      <c r="C284" s="1" t="s">
        <v>34</v>
      </c>
      <c r="D284" s="1" t="s">
        <v>35</v>
      </c>
      <c r="E284" s="1" t="s">
        <v>12</v>
      </c>
      <c r="F284" s="1" t="s">
        <v>13</v>
      </c>
      <c r="G284" s="1" t="s">
        <v>40</v>
      </c>
      <c r="H284">
        <v>17424</v>
      </c>
      <c r="I284">
        <v>4</v>
      </c>
      <c r="J284">
        <v>2023</v>
      </c>
      <c r="K284" s="1" t="s">
        <v>866</v>
      </c>
      <c r="L284">
        <v>9</v>
      </c>
      <c r="M284" s="1">
        <v>69696</v>
      </c>
    </row>
    <row r="285" spans="1:13" x14ac:dyDescent="0.3">
      <c r="A285" s="1" t="s">
        <v>342</v>
      </c>
      <c r="B285" s="2">
        <v>45026</v>
      </c>
      <c r="C285" s="1" t="s">
        <v>64</v>
      </c>
      <c r="D285" s="1" t="s">
        <v>65</v>
      </c>
      <c r="E285" s="1" t="s">
        <v>12</v>
      </c>
      <c r="F285" s="1" t="s">
        <v>18</v>
      </c>
      <c r="G285" s="1" t="s">
        <v>14</v>
      </c>
      <c r="H285">
        <v>5292</v>
      </c>
      <c r="I285">
        <v>3</v>
      </c>
      <c r="J285">
        <v>2023</v>
      </c>
      <c r="K285" s="1" t="s">
        <v>867</v>
      </c>
      <c r="L285">
        <v>4</v>
      </c>
      <c r="M285" s="1">
        <v>15876</v>
      </c>
    </row>
    <row r="286" spans="1:13" x14ac:dyDescent="0.3">
      <c r="A286" s="1" t="s">
        <v>343</v>
      </c>
      <c r="B286" s="2">
        <v>45132</v>
      </c>
      <c r="C286" s="1" t="s">
        <v>20</v>
      </c>
      <c r="D286" s="1" t="s">
        <v>21</v>
      </c>
      <c r="E286" s="1" t="s">
        <v>36</v>
      </c>
      <c r="F286" s="1" t="s">
        <v>25</v>
      </c>
      <c r="G286" s="1" t="s">
        <v>40</v>
      </c>
      <c r="H286">
        <v>4445</v>
      </c>
      <c r="I286">
        <v>1</v>
      </c>
      <c r="J286">
        <v>2023</v>
      </c>
      <c r="K286" s="1" t="s">
        <v>864</v>
      </c>
      <c r="L286">
        <v>7</v>
      </c>
      <c r="M286" s="1">
        <v>4445</v>
      </c>
    </row>
    <row r="287" spans="1:13" x14ac:dyDescent="0.3">
      <c r="A287" s="1" t="s">
        <v>344</v>
      </c>
      <c r="B287" s="2">
        <v>44994</v>
      </c>
      <c r="C287" s="1" t="s">
        <v>73</v>
      </c>
      <c r="D287" s="1" t="s">
        <v>74</v>
      </c>
      <c r="E287" s="1" t="s">
        <v>12</v>
      </c>
      <c r="F287" s="1" t="s">
        <v>22</v>
      </c>
      <c r="G287" s="1" t="s">
        <v>40</v>
      </c>
      <c r="H287">
        <v>16205</v>
      </c>
      <c r="I287">
        <v>7</v>
      </c>
      <c r="J287">
        <v>2023</v>
      </c>
      <c r="K287" s="1" t="s">
        <v>870</v>
      </c>
      <c r="L287">
        <v>3</v>
      </c>
      <c r="M287" s="1">
        <v>113435</v>
      </c>
    </row>
    <row r="288" spans="1:13" x14ac:dyDescent="0.3">
      <c r="A288" s="1" t="s">
        <v>345</v>
      </c>
      <c r="B288" s="2">
        <v>45012</v>
      </c>
      <c r="C288" s="1" t="s">
        <v>53</v>
      </c>
      <c r="D288" s="1" t="s">
        <v>54</v>
      </c>
      <c r="E288" s="1" t="s">
        <v>29</v>
      </c>
      <c r="F288" s="1" t="s">
        <v>22</v>
      </c>
      <c r="G288" s="1" t="s">
        <v>14</v>
      </c>
      <c r="H288">
        <v>23859</v>
      </c>
      <c r="I288">
        <v>9</v>
      </c>
      <c r="J288">
        <v>2023</v>
      </c>
      <c r="K288" s="1" t="s">
        <v>870</v>
      </c>
      <c r="L288">
        <v>3</v>
      </c>
      <c r="M288" s="1">
        <v>214731</v>
      </c>
    </row>
    <row r="289" spans="1:13" x14ac:dyDescent="0.3">
      <c r="A289" s="1" t="s">
        <v>346</v>
      </c>
      <c r="B289" s="2">
        <v>45245</v>
      </c>
      <c r="C289" s="1" t="s">
        <v>123</v>
      </c>
      <c r="D289" s="1" t="s">
        <v>124</v>
      </c>
      <c r="E289" s="1" t="s">
        <v>29</v>
      </c>
      <c r="F289" s="1" t="s">
        <v>13</v>
      </c>
      <c r="G289" s="1" t="s">
        <v>23</v>
      </c>
      <c r="H289">
        <v>22685</v>
      </c>
      <c r="I289">
        <v>5</v>
      </c>
      <c r="J289">
        <v>2023</v>
      </c>
      <c r="K289" s="1" t="s">
        <v>873</v>
      </c>
      <c r="L289">
        <v>11</v>
      </c>
      <c r="M289" s="1">
        <v>113425</v>
      </c>
    </row>
    <row r="290" spans="1:13" x14ac:dyDescent="0.3">
      <c r="A290" s="1" t="s">
        <v>347</v>
      </c>
      <c r="B290" s="2">
        <v>45279</v>
      </c>
      <c r="C290" s="1" t="s">
        <v>20</v>
      </c>
      <c r="D290" s="1" t="s">
        <v>21</v>
      </c>
      <c r="E290" s="1" t="s">
        <v>29</v>
      </c>
      <c r="F290" s="1" t="s">
        <v>18</v>
      </c>
      <c r="G290" s="1" t="s">
        <v>14</v>
      </c>
      <c r="H290">
        <v>2400</v>
      </c>
      <c r="I290">
        <v>3</v>
      </c>
      <c r="J290">
        <v>2023</v>
      </c>
      <c r="K290" s="1" t="s">
        <v>869</v>
      </c>
      <c r="L290">
        <v>12</v>
      </c>
      <c r="M290" s="1">
        <v>7200</v>
      </c>
    </row>
    <row r="291" spans="1:13" x14ac:dyDescent="0.3">
      <c r="A291" s="1" t="s">
        <v>348</v>
      </c>
      <c r="B291" s="2">
        <v>45278</v>
      </c>
      <c r="C291" s="1" t="s">
        <v>16</v>
      </c>
      <c r="D291" s="1" t="s">
        <v>17</v>
      </c>
      <c r="E291" s="1" t="s">
        <v>12</v>
      </c>
      <c r="F291" s="1" t="s">
        <v>22</v>
      </c>
      <c r="G291" s="1" t="s">
        <v>14</v>
      </c>
      <c r="H291">
        <v>12565</v>
      </c>
      <c r="I291">
        <v>5</v>
      </c>
      <c r="J291">
        <v>2023</v>
      </c>
      <c r="K291" s="1" t="s">
        <v>869</v>
      </c>
      <c r="L291">
        <v>12</v>
      </c>
      <c r="M291" s="1">
        <v>62825</v>
      </c>
    </row>
    <row r="292" spans="1:13" x14ac:dyDescent="0.3">
      <c r="A292" s="1" t="s">
        <v>349</v>
      </c>
      <c r="B292" s="2">
        <v>45139</v>
      </c>
      <c r="C292" s="1" t="s">
        <v>61</v>
      </c>
      <c r="D292" s="1" t="s">
        <v>62</v>
      </c>
      <c r="E292" s="1" t="s">
        <v>12</v>
      </c>
      <c r="F292" s="1" t="s">
        <v>25</v>
      </c>
      <c r="G292" s="1" t="s">
        <v>40</v>
      </c>
      <c r="H292">
        <v>25900</v>
      </c>
      <c r="I292">
        <v>7</v>
      </c>
      <c r="J292">
        <v>2023</v>
      </c>
      <c r="K292" s="1" t="s">
        <v>874</v>
      </c>
      <c r="L292">
        <v>8</v>
      </c>
      <c r="M292" s="1">
        <v>181300</v>
      </c>
    </row>
    <row r="293" spans="1:13" x14ac:dyDescent="0.3">
      <c r="A293" s="1" t="s">
        <v>350</v>
      </c>
      <c r="B293" s="2">
        <v>45121</v>
      </c>
      <c r="C293" s="1" t="s">
        <v>77</v>
      </c>
      <c r="D293" s="1" t="s">
        <v>78</v>
      </c>
      <c r="E293" s="1" t="s">
        <v>29</v>
      </c>
      <c r="F293" s="1" t="s">
        <v>25</v>
      </c>
      <c r="G293" s="1" t="s">
        <v>40</v>
      </c>
      <c r="H293">
        <v>7168</v>
      </c>
      <c r="I293">
        <v>7</v>
      </c>
      <c r="J293">
        <v>2023</v>
      </c>
      <c r="K293" s="1" t="s">
        <v>864</v>
      </c>
      <c r="L293">
        <v>7</v>
      </c>
      <c r="M293" s="1">
        <v>50176</v>
      </c>
    </row>
    <row r="294" spans="1:13" x14ac:dyDescent="0.3">
      <c r="A294" s="1" t="s">
        <v>351</v>
      </c>
      <c r="B294" s="2">
        <v>45248</v>
      </c>
      <c r="C294" s="1" t="s">
        <v>89</v>
      </c>
      <c r="D294" s="1" t="s">
        <v>90</v>
      </c>
      <c r="E294" s="1" t="s">
        <v>36</v>
      </c>
      <c r="F294" s="1" t="s">
        <v>25</v>
      </c>
      <c r="G294" s="1" t="s">
        <v>14</v>
      </c>
      <c r="H294">
        <v>33894</v>
      </c>
      <c r="I294">
        <v>7</v>
      </c>
      <c r="J294">
        <v>2023</v>
      </c>
      <c r="K294" s="1" t="s">
        <v>873</v>
      </c>
      <c r="L294">
        <v>11</v>
      </c>
      <c r="M294" s="1">
        <v>237258</v>
      </c>
    </row>
    <row r="295" spans="1:13" x14ac:dyDescent="0.3">
      <c r="A295" s="1" t="s">
        <v>352</v>
      </c>
      <c r="B295" s="2">
        <v>45228</v>
      </c>
      <c r="C295" s="1" t="s">
        <v>67</v>
      </c>
      <c r="D295" s="1" t="s">
        <v>68</v>
      </c>
      <c r="E295" s="1" t="s">
        <v>29</v>
      </c>
      <c r="F295" s="1" t="s">
        <v>25</v>
      </c>
      <c r="G295" s="1" t="s">
        <v>23</v>
      </c>
      <c r="H295">
        <v>6264</v>
      </c>
      <c r="I295">
        <v>4</v>
      </c>
      <c r="J295">
        <v>2023</v>
      </c>
      <c r="K295" s="1" t="s">
        <v>865</v>
      </c>
      <c r="L295">
        <v>10</v>
      </c>
      <c r="M295" s="1">
        <v>25056</v>
      </c>
    </row>
    <row r="296" spans="1:13" x14ac:dyDescent="0.3">
      <c r="A296" s="1" t="s">
        <v>353</v>
      </c>
      <c r="B296" s="2">
        <v>45168</v>
      </c>
      <c r="C296" s="1" t="s">
        <v>64</v>
      </c>
      <c r="D296" s="1" t="s">
        <v>65</v>
      </c>
      <c r="E296" s="1" t="s">
        <v>12</v>
      </c>
      <c r="F296" s="1" t="s">
        <v>22</v>
      </c>
      <c r="G296" s="1" t="s">
        <v>23</v>
      </c>
      <c r="H296">
        <v>3996</v>
      </c>
      <c r="I296">
        <v>3</v>
      </c>
      <c r="J296">
        <v>2023</v>
      </c>
      <c r="K296" s="1" t="s">
        <v>874</v>
      </c>
      <c r="L296">
        <v>8</v>
      </c>
      <c r="M296" s="1">
        <v>11988</v>
      </c>
    </row>
    <row r="297" spans="1:13" x14ac:dyDescent="0.3">
      <c r="A297" s="1" t="s">
        <v>354</v>
      </c>
      <c r="B297" s="2">
        <v>45114</v>
      </c>
      <c r="C297" s="1" t="s">
        <v>137</v>
      </c>
      <c r="D297" s="1" t="s">
        <v>138</v>
      </c>
      <c r="E297" s="1" t="s">
        <v>12</v>
      </c>
      <c r="F297" s="1" t="s">
        <v>13</v>
      </c>
      <c r="G297" s="1" t="s">
        <v>40</v>
      </c>
      <c r="H297">
        <v>13275</v>
      </c>
      <c r="I297">
        <v>9</v>
      </c>
      <c r="J297">
        <v>2023</v>
      </c>
      <c r="K297" s="1" t="s">
        <v>864</v>
      </c>
      <c r="L297">
        <v>7</v>
      </c>
      <c r="M297" s="1">
        <v>119475</v>
      </c>
    </row>
    <row r="298" spans="1:13" x14ac:dyDescent="0.3">
      <c r="A298" s="1" t="s">
        <v>355</v>
      </c>
      <c r="B298" s="2">
        <v>45226</v>
      </c>
      <c r="C298" s="1" t="s">
        <v>77</v>
      </c>
      <c r="D298" s="1" t="s">
        <v>78</v>
      </c>
      <c r="E298" s="1" t="s">
        <v>12</v>
      </c>
      <c r="F298" s="1" t="s">
        <v>13</v>
      </c>
      <c r="G298" s="1" t="s">
        <v>40</v>
      </c>
      <c r="H298">
        <v>14958</v>
      </c>
      <c r="I298">
        <v>9</v>
      </c>
      <c r="J298">
        <v>2023</v>
      </c>
      <c r="K298" s="1" t="s">
        <v>865</v>
      </c>
      <c r="L298">
        <v>10</v>
      </c>
      <c r="M298" s="1">
        <v>134622</v>
      </c>
    </row>
    <row r="299" spans="1:13" x14ac:dyDescent="0.3">
      <c r="A299" s="1" t="s">
        <v>356</v>
      </c>
      <c r="B299" s="2">
        <v>45136</v>
      </c>
      <c r="C299" s="1" t="s">
        <v>38</v>
      </c>
      <c r="D299" s="1" t="s">
        <v>39</v>
      </c>
      <c r="E299" s="1" t="s">
        <v>12</v>
      </c>
      <c r="F299" s="1" t="s">
        <v>25</v>
      </c>
      <c r="G299" s="1" t="s">
        <v>23</v>
      </c>
      <c r="H299">
        <v>2096</v>
      </c>
      <c r="I299">
        <v>2</v>
      </c>
      <c r="J299">
        <v>2023</v>
      </c>
      <c r="K299" s="1" t="s">
        <v>864</v>
      </c>
      <c r="L299">
        <v>7</v>
      </c>
      <c r="M299" s="1">
        <v>4192</v>
      </c>
    </row>
    <row r="300" spans="1:13" x14ac:dyDescent="0.3">
      <c r="A300" s="1" t="s">
        <v>357</v>
      </c>
      <c r="B300" s="2">
        <v>45126</v>
      </c>
      <c r="C300" s="1" t="s">
        <v>38</v>
      </c>
      <c r="D300" s="1" t="s">
        <v>39</v>
      </c>
      <c r="E300" s="1" t="s">
        <v>29</v>
      </c>
      <c r="F300" s="1" t="s">
        <v>22</v>
      </c>
      <c r="G300" s="1" t="s">
        <v>40</v>
      </c>
      <c r="H300">
        <v>17960</v>
      </c>
      <c r="I300">
        <v>5</v>
      </c>
      <c r="J300">
        <v>2023</v>
      </c>
      <c r="K300" s="1" t="s">
        <v>864</v>
      </c>
      <c r="L300">
        <v>7</v>
      </c>
      <c r="M300" s="1">
        <v>89800</v>
      </c>
    </row>
    <row r="301" spans="1:13" x14ac:dyDescent="0.3">
      <c r="A301" s="1" t="s">
        <v>358</v>
      </c>
      <c r="B301" s="2">
        <v>45050</v>
      </c>
      <c r="C301" s="1" t="s">
        <v>89</v>
      </c>
      <c r="D301" s="1" t="s">
        <v>90</v>
      </c>
      <c r="E301" s="1" t="s">
        <v>36</v>
      </c>
      <c r="F301" s="1" t="s">
        <v>25</v>
      </c>
      <c r="G301" s="1" t="s">
        <v>23</v>
      </c>
      <c r="H301">
        <v>13485</v>
      </c>
      <c r="I301">
        <v>5</v>
      </c>
      <c r="J301">
        <v>2023</v>
      </c>
      <c r="K301" s="1" t="s">
        <v>872</v>
      </c>
      <c r="L301">
        <v>5</v>
      </c>
      <c r="M301" s="1">
        <v>67425</v>
      </c>
    </row>
    <row r="302" spans="1:13" x14ac:dyDescent="0.3">
      <c r="A302" s="1" t="s">
        <v>359</v>
      </c>
      <c r="B302" s="2">
        <v>45228</v>
      </c>
      <c r="C302" s="1" t="s">
        <v>50</v>
      </c>
      <c r="D302" s="1" t="s">
        <v>51</v>
      </c>
      <c r="E302" s="1" t="s">
        <v>12</v>
      </c>
      <c r="F302" s="1" t="s">
        <v>25</v>
      </c>
      <c r="G302" s="1" t="s">
        <v>23</v>
      </c>
      <c r="H302">
        <v>23850</v>
      </c>
      <c r="I302">
        <v>10</v>
      </c>
      <c r="J302">
        <v>2023</v>
      </c>
      <c r="K302" s="1" t="s">
        <v>865</v>
      </c>
      <c r="L302">
        <v>10</v>
      </c>
      <c r="M302" s="1">
        <v>238500</v>
      </c>
    </row>
    <row r="303" spans="1:13" x14ac:dyDescent="0.3">
      <c r="A303" s="1" t="s">
        <v>360</v>
      </c>
      <c r="B303" s="2">
        <v>45177</v>
      </c>
      <c r="C303" s="1" t="s">
        <v>31</v>
      </c>
      <c r="D303" s="1" t="s">
        <v>32</v>
      </c>
      <c r="E303" s="1" t="s">
        <v>29</v>
      </c>
      <c r="F303" s="1" t="s">
        <v>25</v>
      </c>
      <c r="G303" s="1" t="s">
        <v>40</v>
      </c>
      <c r="H303">
        <v>30987</v>
      </c>
      <c r="I303">
        <v>9</v>
      </c>
      <c r="J303">
        <v>2023</v>
      </c>
      <c r="K303" s="1" t="s">
        <v>866</v>
      </c>
      <c r="L303">
        <v>9</v>
      </c>
      <c r="M303" s="1">
        <v>278883</v>
      </c>
    </row>
    <row r="304" spans="1:13" x14ac:dyDescent="0.3">
      <c r="A304" s="1" t="s">
        <v>361</v>
      </c>
      <c r="B304" s="2">
        <v>45239</v>
      </c>
      <c r="C304" s="1" t="s">
        <v>73</v>
      </c>
      <c r="D304" s="1" t="s">
        <v>74</v>
      </c>
      <c r="E304" s="1" t="s">
        <v>12</v>
      </c>
      <c r="F304" s="1" t="s">
        <v>18</v>
      </c>
      <c r="G304" s="1" t="s">
        <v>23</v>
      </c>
      <c r="H304">
        <v>20802</v>
      </c>
      <c r="I304">
        <v>6</v>
      </c>
      <c r="J304">
        <v>2023</v>
      </c>
      <c r="K304" s="1" t="s">
        <v>873</v>
      </c>
      <c r="L304">
        <v>11</v>
      </c>
      <c r="M304" s="1">
        <v>124812</v>
      </c>
    </row>
    <row r="305" spans="1:13" x14ac:dyDescent="0.3">
      <c r="A305" s="1" t="s">
        <v>362</v>
      </c>
      <c r="B305" s="2">
        <v>45024</v>
      </c>
      <c r="C305" s="1" t="s">
        <v>109</v>
      </c>
      <c r="D305" s="1" t="s">
        <v>110</v>
      </c>
      <c r="E305" s="1" t="s">
        <v>29</v>
      </c>
      <c r="F305" s="1" t="s">
        <v>13</v>
      </c>
      <c r="G305" s="1" t="s">
        <v>14</v>
      </c>
      <c r="H305">
        <v>21345</v>
      </c>
      <c r="I305">
        <v>5</v>
      </c>
      <c r="J305">
        <v>2023</v>
      </c>
      <c r="K305" s="1" t="s">
        <v>867</v>
      </c>
      <c r="L305">
        <v>4</v>
      </c>
      <c r="M305" s="1">
        <v>106725</v>
      </c>
    </row>
    <row r="306" spans="1:13" x14ac:dyDescent="0.3">
      <c r="A306" s="1" t="s">
        <v>363</v>
      </c>
      <c r="B306" s="2">
        <v>45053</v>
      </c>
      <c r="C306" s="1" t="s">
        <v>43</v>
      </c>
      <c r="D306" s="1" t="s">
        <v>44</v>
      </c>
      <c r="E306" s="1" t="s">
        <v>12</v>
      </c>
      <c r="F306" s="1" t="s">
        <v>18</v>
      </c>
      <c r="G306" s="1" t="s">
        <v>40</v>
      </c>
      <c r="H306">
        <v>12720</v>
      </c>
      <c r="I306">
        <v>8</v>
      </c>
      <c r="J306">
        <v>2023</v>
      </c>
      <c r="K306" s="1" t="s">
        <v>872</v>
      </c>
      <c r="L306">
        <v>5</v>
      </c>
      <c r="M306" s="1">
        <v>101760</v>
      </c>
    </row>
    <row r="307" spans="1:13" x14ac:dyDescent="0.3">
      <c r="A307" s="1" t="s">
        <v>364</v>
      </c>
      <c r="B307" s="2">
        <v>45099</v>
      </c>
      <c r="C307" s="1" t="s">
        <v>47</v>
      </c>
      <c r="D307" s="1" t="s">
        <v>48</v>
      </c>
      <c r="E307" s="1" t="s">
        <v>29</v>
      </c>
      <c r="F307" s="1" t="s">
        <v>13</v>
      </c>
      <c r="G307" s="1" t="s">
        <v>14</v>
      </c>
      <c r="H307">
        <v>8736</v>
      </c>
      <c r="I307">
        <v>6</v>
      </c>
      <c r="J307">
        <v>2023</v>
      </c>
      <c r="K307" s="1" t="s">
        <v>863</v>
      </c>
      <c r="L307">
        <v>6</v>
      </c>
      <c r="M307" s="1">
        <v>52416</v>
      </c>
    </row>
    <row r="308" spans="1:13" x14ac:dyDescent="0.3">
      <c r="A308" s="1" t="s">
        <v>365</v>
      </c>
      <c r="B308" s="2">
        <v>45264</v>
      </c>
      <c r="C308" s="1" t="s">
        <v>109</v>
      </c>
      <c r="D308" s="1" t="s">
        <v>110</v>
      </c>
      <c r="E308" s="1" t="s">
        <v>12</v>
      </c>
      <c r="F308" s="1" t="s">
        <v>25</v>
      </c>
      <c r="G308" s="1" t="s">
        <v>40</v>
      </c>
      <c r="H308">
        <v>6840</v>
      </c>
      <c r="I308">
        <v>6</v>
      </c>
      <c r="J308">
        <v>2023</v>
      </c>
      <c r="K308" s="1" t="s">
        <v>869</v>
      </c>
      <c r="L308">
        <v>12</v>
      </c>
      <c r="M308" s="1">
        <v>41040</v>
      </c>
    </row>
    <row r="309" spans="1:13" x14ac:dyDescent="0.3">
      <c r="A309" s="1" t="s">
        <v>366</v>
      </c>
      <c r="B309" s="2">
        <v>45192</v>
      </c>
      <c r="C309" s="1" t="s">
        <v>34</v>
      </c>
      <c r="D309" s="1" t="s">
        <v>35</v>
      </c>
      <c r="E309" s="1" t="s">
        <v>36</v>
      </c>
      <c r="F309" s="1" t="s">
        <v>13</v>
      </c>
      <c r="G309" s="1" t="s">
        <v>14</v>
      </c>
      <c r="H309">
        <v>20041</v>
      </c>
      <c r="I309">
        <v>7</v>
      </c>
      <c r="J309">
        <v>2023</v>
      </c>
      <c r="K309" s="1" t="s">
        <v>866</v>
      </c>
      <c r="L309">
        <v>9</v>
      </c>
      <c r="M309" s="1">
        <v>140287</v>
      </c>
    </row>
    <row r="310" spans="1:13" x14ac:dyDescent="0.3">
      <c r="A310" s="1" t="s">
        <v>367</v>
      </c>
      <c r="B310" s="2">
        <v>45187</v>
      </c>
      <c r="C310" s="1" t="s">
        <v>27</v>
      </c>
      <c r="D310" s="1" t="s">
        <v>28</v>
      </c>
      <c r="E310" s="1" t="s">
        <v>36</v>
      </c>
      <c r="F310" s="1" t="s">
        <v>18</v>
      </c>
      <c r="G310" s="1" t="s">
        <v>23</v>
      </c>
      <c r="H310">
        <v>4965</v>
      </c>
      <c r="I310">
        <v>3</v>
      </c>
      <c r="J310">
        <v>2023</v>
      </c>
      <c r="K310" s="1" t="s">
        <v>866</v>
      </c>
      <c r="L310">
        <v>9</v>
      </c>
      <c r="M310" s="1">
        <v>14895</v>
      </c>
    </row>
    <row r="311" spans="1:13" x14ac:dyDescent="0.3">
      <c r="A311" s="1" t="s">
        <v>368</v>
      </c>
      <c r="B311" s="2">
        <v>45005</v>
      </c>
      <c r="C311" s="1" t="s">
        <v>89</v>
      </c>
      <c r="D311" s="1" t="s">
        <v>90</v>
      </c>
      <c r="E311" s="1" t="s">
        <v>12</v>
      </c>
      <c r="F311" s="1" t="s">
        <v>25</v>
      </c>
      <c r="G311" s="1" t="s">
        <v>23</v>
      </c>
      <c r="H311">
        <v>21010</v>
      </c>
      <c r="I311">
        <v>10</v>
      </c>
      <c r="J311">
        <v>2023</v>
      </c>
      <c r="K311" s="1" t="s">
        <v>870</v>
      </c>
      <c r="L311">
        <v>3</v>
      </c>
      <c r="M311" s="1">
        <v>210100</v>
      </c>
    </row>
    <row r="312" spans="1:13" x14ac:dyDescent="0.3">
      <c r="A312" s="1" t="s">
        <v>369</v>
      </c>
      <c r="B312" s="2">
        <v>44944</v>
      </c>
      <c r="C312" s="1" t="s">
        <v>137</v>
      </c>
      <c r="D312" s="1" t="s">
        <v>138</v>
      </c>
      <c r="E312" s="1" t="s">
        <v>36</v>
      </c>
      <c r="F312" s="1" t="s">
        <v>25</v>
      </c>
      <c r="G312" s="1" t="s">
        <v>23</v>
      </c>
      <c r="H312">
        <v>5970</v>
      </c>
      <c r="I312">
        <v>2</v>
      </c>
      <c r="J312">
        <v>2023</v>
      </c>
      <c r="K312" s="1" t="s">
        <v>868</v>
      </c>
      <c r="L312">
        <v>1</v>
      </c>
      <c r="M312" s="1">
        <v>11940</v>
      </c>
    </row>
    <row r="313" spans="1:13" x14ac:dyDescent="0.3">
      <c r="A313" s="1" t="s">
        <v>370</v>
      </c>
      <c r="B313" s="2">
        <v>44995</v>
      </c>
      <c r="C313" s="1" t="s">
        <v>61</v>
      </c>
      <c r="D313" s="1" t="s">
        <v>62</v>
      </c>
      <c r="E313" s="1" t="s">
        <v>29</v>
      </c>
      <c r="F313" s="1" t="s">
        <v>22</v>
      </c>
      <c r="G313" s="1" t="s">
        <v>14</v>
      </c>
      <c r="H313">
        <v>9591</v>
      </c>
      <c r="I313">
        <v>3</v>
      </c>
      <c r="J313">
        <v>2023</v>
      </c>
      <c r="K313" s="1" t="s">
        <v>870</v>
      </c>
      <c r="L313">
        <v>3</v>
      </c>
      <c r="M313" s="1">
        <v>28773</v>
      </c>
    </row>
    <row r="314" spans="1:13" x14ac:dyDescent="0.3">
      <c r="A314" s="1" t="s">
        <v>371</v>
      </c>
      <c r="B314" s="2">
        <v>45175</v>
      </c>
      <c r="C314" s="1" t="s">
        <v>34</v>
      </c>
      <c r="D314" s="1" t="s">
        <v>35</v>
      </c>
      <c r="E314" s="1" t="s">
        <v>29</v>
      </c>
      <c r="F314" s="1" t="s">
        <v>25</v>
      </c>
      <c r="G314" s="1" t="s">
        <v>40</v>
      </c>
      <c r="H314">
        <v>28424</v>
      </c>
      <c r="I314">
        <v>8</v>
      </c>
      <c r="J314">
        <v>2023</v>
      </c>
      <c r="K314" s="1" t="s">
        <v>866</v>
      </c>
      <c r="L314">
        <v>9</v>
      </c>
      <c r="M314" s="1">
        <v>227392</v>
      </c>
    </row>
    <row r="315" spans="1:13" x14ac:dyDescent="0.3">
      <c r="A315" s="1" t="s">
        <v>372</v>
      </c>
      <c r="B315" s="2">
        <v>45021</v>
      </c>
      <c r="C315" s="1" t="s">
        <v>67</v>
      </c>
      <c r="D315" s="1" t="s">
        <v>68</v>
      </c>
      <c r="E315" s="1" t="s">
        <v>36</v>
      </c>
      <c r="F315" s="1" t="s">
        <v>25</v>
      </c>
      <c r="G315" s="1" t="s">
        <v>14</v>
      </c>
      <c r="H315">
        <v>11655</v>
      </c>
      <c r="I315">
        <v>3</v>
      </c>
      <c r="J315">
        <v>2023</v>
      </c>
      <c r="K315" s="1" t="s">
        <v>867</v>
      </c>
      <c r="L315">
        <v>4</v>
      </c>
      <c r="M315" s="1">
        <v>34965</v>
      </c>
    </row>
    <row r="316" spans="1:13" x14ac:dyDescent="0.3">
      <c r="A316" s="1" t="s">
        <v>373</v>
      </c>
      <c r="B316" s="2">
        <v>45283</v>
      </c>
      <c r="C316" s="1" t="s">
        <v>61</v>
      </c>
      <c r="D316" s="1" t="s">
        <v>62</v>
      </c>
      <c r="E316" s="1" t="s">
        <v>29</v>
      </c>
      <c r="F316" s="1" t="s">
        <v>13</v>
      </c>
      <c r="G316" s="1" t="s">
        <v>14</v>
      </c>
      <c r="H316">
        <v>18648</v>
      </c>
      <c r="I316">
        <v>4</v>
      </c>
      <c r="J316">
        <v>2023</v>
      </c>
      <c r="K316" s="1" t="s">
        <v>869</v>
      </c>
      <c r="L316">
        <v>12</v>
      </c>
      <c r="M316" s="1">
        <v>74592</v>
      </c>
    </row>
    <row r="317" spans="1:13" x14ac:dyDescent="0.3">
      <c r="A317" s="1" t="s">
        <v>374</v>
      </c>
      <c r="B317" s="2">
        <v>44987</v>
      </c>
      <c r="C317" s="1" t="s">
        <v>53</v>
      </c>
      <c r="D317" s="1" t="s">
        <v>54</v>
      </c>
      <c r="E317" s="1" t="s">
        <v>12</v>
      </c>
      <c r="F317" s="1" t="s">
        <v>18</v>
      </c>
      <c r="G317" s="1" t="s">
        <v>40</v>
      </c>
      <c r="H317">
        <v>21410</v>
      </c>
      <c r="I317">
        <v>5</v>
      </c>
      <c r="J317">
        <v>2023</v>
      </c>
      <c r="K317" s="1" t="s">
        <v>870</v>
      </c>
      <c r="L317">
        <v>3</v>
      </c>
      <c r="M317" s="1">
        <v>107050</v>
      </c>
    </row>
    <row r="318" spans="1:13" x14ac:dyDescent="0.3">
      <c r="A318" s="1" t="s">
        <v>375</v>
      </c>
      <c r="B318" s="2">
        <v>45052</v>
      </c>
      <c r="C318" s="1" t="s">
        <v>27</v>
      </c>
      <c r="D318" s="1" t="s">
        <v>28</v>
      </c>
      <c r="E318" s="1" t="s">
        <v>29</v>
      </c>
      <c r="F318" s="1" t="s">
        <v>18</v>
      </c>
      <c r="G318" s="1" t="s">
        <v>40</v>
      </c>
      <c r="H318">
        <v>6603</v>
      </c>
      <c r="I318">
        <v>3</v>
      </c>
      <c r="J318">
        <v>2023</v>
      </c>
      <c r="K318" s="1" t="s">
        <v>872</v>
      </c>
      <c r="L318">
        <v>5</v>
      </c>
      <c r="M318" s="1">
        <v>19809</v>
      </c>
    </row>
    <row r="319" spans="1:13" x14ac:dyDescent="0.3">
      <c r="A319" s="1" t="s">
        <v>376</v>
      </c>
      <c r="B319" s="2">
        <v>44957</v>
      </c>
      <c r="C319" s="1" t="s">
        <v>61</v>
      </c>
      <c r="D319" s="1" t="s">
        <v>62</v>
      </c>
      <c r="E319" s="1" t="s">
        <v>29</v>
      </c>
      <c r="F319" s="1" t="s">
        <v>13</v>
      </c>
      <c r="G319" s="1" t="s">
        <v>40</v>
      </c>
      <c r="H319">
        <v>17585</v>
      </c>
      <c r="I319">
        <v>5</v>
      </c>
      <c r="J319">
        <v>2023</v>
      </c>
      <c r="K319" s="1" t="s">
        <v>868</v>
      </c>
      <c r="L319">
        <v>1</v>
      </c>
      <c r="M319" s="1">
        <v>87925</v>
      </c>
    </row>
    <row r="320" spans="1:13" x14ac:dyDescent="0.3">
      <c r="A320" s="1" t="s">
        <v>377</v>
      </c>
      <c r="B320" s="2">
        <v>44963</v>
      </c>
      <c r="C320" s="1" t="s">
        <v>34</v>
      </c>
      <c r="D320" s="1" t="s">
        <v>35</v>
      </c>
      <c r="E320" s="1" t="s">
        <v>12</v>
      </c>
      <c r="F320" s="1" t="s">
        <v>22</v>
      </c>
      <c r="G320" s="1" t="s">
        <v>40</v>
      </c>
      <c r="H320">
        <v>7720</v>
      </c>
      <c r="I320">
        <v>2</v>
      </c>
      <c r="J320">
        <v>2023</v>
      </c>
      <c r="K320" s="1" t="s">
        <v>871</v>
      </c>
      <c r="L320">
        <v>2</v>
      </c>
      <c r="M320" s="1">
        <v>15440</v>
      </c>
    </row>
    <row r="321" spans="1:13" x14ac:dyDescent="0.3">
      <c r="A321" s="1" t="s">
        <v>378</v>
      </c>
      <c r="B321" s="2">
        <v>44930</v>
      </c>
      <c r="C321" s="1" t="s">
        <v>53</v>
      </c>
      <c r="D321" s="1" t="s">
        <v>54</v>
      </c>
      <c r="E321" s="1" t="s">
        <v>29</v>
      </c>
      <c r="F321" s="1" t="s">
        <v>13</v>
      </c>
      <c r="G321" s="1" t="s">
        <v>14</v>
      </c>
      <c r="H321">
        <v>4948</v>
      </c>
      <c r="I321">
        <v>2</v>
      </c>
      <c r="J321">
        <v>2023</v>
      </c>
      <c r="K321" s="1" t="s">
        <v>868</v>
      </c>
      <c r="L321">
        <v>1</v>
      </c>
      <c r="M321" s="1">
        <v>9896</v>
      </c>
    </row>
    <row r="322" spans="1:13" x14ac:dyDescent="0.3">
      <c r="A322" s="1" t="s">
        <v>379</v>
      </c>
      <c r="B322" s="2">
        <v>45181</v>
      </c>
      <c r="C322" s="1" t="s">
        <v>34</v>
      </c>
      <c r="D322" s="1" t="s">
        <v>35</v>
      </c>
      <c r="E322" s="1" t="s">
        <v>36</v>
      </c>
      <c r="F322" s="1" t="s">
        <v>22</v>
      </c>
      <c r="G322" s="1" t="s">
        <v>40</v>
      </c>
      <c r="H322">
        <v>19375</v>
      </c>
      <c r="I322">
        <v>5</v>
      </c>
      <c r="J322">
        <v>2023</v>
      </c>
      <c r="K322" s="1" t="s">
        <v>866</v>
      </c>
      <c r="L322">
        <v>9</v>
      </c>
      <c r="M322" s="1">
        <v>96875</v>
      </c>
    </row>
    <row r="323" spans="1:13" x14ac:dyDescent="0.3">
      <c r="A323" s="1" t="s">
        <v>380</v>
      </c>
      <c r="B323" s="2">
        <v>44997</v>
      </c>
      <c r="C323" s="1" t="s">
        <v>123</v>
      </c>
      <c r="D323" s="1" t="s">
        <v>124</v>
      </c>
      <c r="E323" s="1" t="s">
        <v>29</v>
      </c>
      <c r="F323" s="1" t="s">
        <v>25</v>
      </c>
      <c r="G323" s="1" t="s">
        <v>40</v>
      </c>
      <c r="H323">
        <v>38106</v>
      </c>
      <c r="I323">
        <v>9</v>
      </c>
      <c r="J323">
        <v>2023</v>
      </c>
      <c r="K323" s="1" t="s">
        <v>870</v>
      </c>
      <c r="L323">
        <v>3</v>
      </c>
      <c r="M323" s="1">
        <v>342954</v>
      </c>
    </row>
    <row r="324" spans="1:13" x14ac:dyDescent="0.3">
      <c r="A324" s="1" t="s">
        <v>381</v>
      </c>
      <c r="B324" s="2">
        <v>45285</v>
      </c>
      <c r="C324" s="1" t="s">
        <v>64</v>
      </c>
      <c r="D324" s="1" t="s">
        <v>65</v>
      </c>
      <c r="E324" s="1" t="s">
        <v>29</v>
      </c>
      <c r="F324" s="1" t="s">
        <v>18</v>
      </c>
      <c r="G324" s="1" t="s">
        <v>40</v>
      </c>
      <c r="H324">
        <v>43074</v>
      </c>
      <c r="I324">
        <v>9</v>
      </c>
      <c r="J324">
        <v>2023</v>
      </c>
      <c r="K324" s="1" t="s">
        <v>869</v>
      </c>
      <c r="L324">
        <v>12</v>
      </c>
      <c r="M324" s="1">
        <v>387666</v>
      </c>
    </row>
    <row r="325" spans="1:13" x14ac:dyDescent="0.3">
      <c r="A325" s="1" t="s">
        <v>382</v>
      </c>
      <c r="B325" s="2">
        <v>44965</v>
      </c>
      <c r="C325" s="1" t="s">
        <v>73</v>
      </c>
      <c r="D325" s="1" t="s">
        <v>74</v>
      </c>
      <c r="E325" s="1" t="s">
        <v>36</v>
      </c>
      <c r="F325" s="1" t="s">
        <v>18</v>
      </c>
      <c r="G325" s="1" t="s">
        <v>40</v>
      </c>
      <c r="H325">
        <v>10179</v>
      </c>
      <c r="I325">
        <v>9</v>
      </c>
      <c r="J325">
        <v>2023</v>
      </c>
      <c r="K325" s="1" t="s">
        <v>871</v>
      </c>
      <c r="L325">
        <v>2</v>
      </c>
      <c r="M325" s="1">
        <v>91611</v>
      </c>
    </row>
    <row r="326" spans="1:13" x14ac:dyDescent="0.3">
      <c r="A326" s="1" t="s">
        <v>383</v>
      </c>
      <c r="B326" s="2">
        <v>45050</v>
      </c>
      <c r="C326" s="1" t="s">
        <v>47</v>
      </c>
      <c r="D326" s="1" t="s">
        <v>48</v>
      </c>
      <c r="E326" s="1" t="s">
        <v>12</v>
      </c>
      <c r="F326" s="1" t="s">
        <v>25</v>
      </c>
      <c r="G326" s="1" t="s">
        <v>14</v>
      </c>
      <c r="H326">
        <v>11851</v>
      </c>
      <c r="I326">
        <v>7</v>
      </c>
      <c r="J326">
        <v>2023</v>
      </c>
      <c r="K326" s="1" t="s">
        <v>872</v>
      </c>
      <c r="L326">
        <v>5</v>
      </c>
      <c r="M326" s="1">
        <v>82957</v>
      </c>
    </row>
    <row r="327" spans="1:13" x14ac:dyDescent="0.3">
      <c r="A327" s="1" t="s">
        <v>384</v>
      </c>
      <c r="B327" s="2">
        <v>44990</v>
      </c>
      <c r="C327" s="1" t="s">
        <v>67</v>
      </c>
      <c r="D327" s="1" t="s">
        <v>68</v>
      </c>
      <c r="E327" s="1" t="s">
        <v>12</v>
      </c>
      <c r="F327" s="1" t="s">
        <v>25</v>
      </c>
      <c r="G327" s="1" t="s">
        <v>40</v>
      </c>
      <c r="H327">
        <v>28184</v>
      </c>
      <c r="I327">
        <v>8</v>
      </c>
      <c r="J327">
        <v>2023</v>
      </c>
      <c r="K327" s="1" t="s">
        <v>870</v>
      </c>
      <c r="L327">
        <v>3</v>
      </c>
      <c r="M327" s="1">
        <v>225472</v>
      </c>
    </row>
    <row r="328" spans="1:13" x14ac:dyDescent="0.3">
      <c r="A328" s="1" t="s">
        <v>385</v>
      </c>
      <c r="B328" s="2">
        <v>44978</v>
      </c>
      <c r="C328" s="1" t="s">
        <v>61</v>
      </c>
      <c r="D328" s="1" t="s">
        <v>62</v>
      </c>
      <c r="E328" s="1" t="s">
        <v>29</v>
      </c>
      <c r="F328" s="1" t="s">
        <v>25</v>
      </c>
      <c r="G328" s="1" t="s">
        <v>23</v>
      </c>
      <c r="H328">
        <v>6536</v>
      </c>
      <c r="I328">
        <v>4</v>
      </c>
      <c r="J328">
        <v>2023</v>
      </c>
      <c r="K328" s="1" t="s">
        <v>871</v>
      </c>
      <c r="L328">
        <v>2</v>
      </c>
      <c r="M328" s="1">
        <v>26144</v>
      </c>
    </row>
    <row r="329" spans="1:13" x14ac:dyDescent="0.3">
      <c r="A329" s="1" t="s">
        <v>386</v>
      </c>
      <c r="B329" s="2">
        <v>45185</v>
      </c>
      <c r="C329" s="1" t="s">
        <v>16</v>
      </c>
      <c r="D329" s="1" t="s">
        <v>17</v>
      </c>
      <c r="E329" s="1" t="s">
        <v>29</v>
      </c>
      <c r="F329" s="1" t="s">
        <v>18</v>
      </c>
      <c r="G329" s="1" t="s">
        <v>23</v>
      </c>
      <c r="H329">
        <v>21972</v>
      </c>
      <c r="I329">
        <v>6</v>
      </c>
      <c r="J329">
        <v>2023</v>
      </c>
      <c r="K329" s="1" t="s">
        <v>866</v>
      </c>
      <c r="L329">
        <v>9</v>
      </c>
      <c r="M329" s="1">
        <v>131832</v>
      </c>
    </row>
    <row r="330" spans="1:13" x14ac:dyDescent="0.3">
      <c r="A330" s="1" t="s">
        <v>387</v>
      </c>
      <c r="B330" s="2">
        <v>45283</v>
      </c>
      <c r="C330" s="1" t="s">
        <v>123</v>
      </c>
      <c r="D330" s="1" t="s">
        <v>124</v>
      </c>
      <c r="E330" s="1" t="s">
        <v>29</v>
      </c>
      <c r="F330" s="1" t="s">
        <v>18</v>
      </c>
      <c r="G330" s="1" t="s">
        <v>23</v>
      </c>
      <c r="H330">
        <v>22408</v>
      </c>
      <c r="I330">
        <v>8</v>
      </c>
      <c r="J330">
        <v>2023</v>
      </c>
      <c r="K330" s="1" t="s">
        <v>869</v>
      </c>
      <c r="L330">
        <v>12</v>
      </c>
      <c r="M330" s="1">
        <v>179264</v>
      </c>
    </row>
    <row r="331" spans="1:13" x14ac:dyDescent="0.3">
      <c r="A331" s="1" t="s">
        <v>388</v>
      </c>
      <c r="B331" s="2">
        <v>45081</v>
      </c>
      <c r="C331" s="1" t="s">
        <v>123</v>
      </c>
      <c r="D331" s="1" t="s">
        <v>124</v>
      </c>
      <c r="E331" s="1" t="s">
        <v>29</v>
      </c>
      <c r="F331" s="1" t="s">
        <v>13</v>
      </c>
      <c r="G331" s="1" t="s">
        <v>23</v>
      </c>
      <c r="H331">
        <v>24110</v>
      </c>
      <c r="I331">
        <v>10</v>
      </c>
      <c r="J331">
        <v>2023</v>
      </c>
      <c r="K331" s="1" t="s">
        <v>863</v>
      </c>
      <c r="L331">
        <v>6</v>
      </c>
      <c r="M331" s="1">
        <v>241100</v>
      </c>
    </row>
    <row r="332" spans="1:13" x14ac:dyDescent="0.3">
      <c r="A332" s="1" t="s">
        <v>389</v>
      </c>
      <c r="B332" s="2">
        <v>44944</v>
      </c>
      <c r="C332" s="1" t="s">
        <v>109</v>
      </c>
      <c r="D332" s="1" t="s">
        <v>110</v>
      </c>
      <c r="E332" s="1" t="s">
        <v>29</v>
      </c>
      <c r="F332" s="1" t="s">
        <v>25</v>
      </c>
      <c r="G332" s="1" t="s">
        <v>40</v>
      </c>
      <c r="H332">
        <v>11893</v>
      </c>
      <c r="I332">
        <v>7</v>
      </c>
      <c r="J332">
        <v>2023</v>
      </c>
      <c r="K332" s="1" t="s">
        <v>868</v>
      </c>
      <c r="L332">
        <v>1</v>
      </c>
      <c r="M332" s="1">
        <v>83251</v>
      </c>
    </row>
    <row r="333" spans="1:13" x14ac:dyDescent="0.3">
      <c r="A333" s="1" t="s">
        <v>390</v>
      </c>
      <c r="B333" s="2">
        <v>45044</v>
      </c>
      <c r="C333" s="1" t="s">
        <v>47</v>
      </c>
      <c r="D333" s="1" t="s">
        <v>48</v>
      </c>
      <c r="E333" s="1" t="s">
        <v>12</v>
      </c>
      <c r="F333" s="1" t="s">
        <v>22</v>
      </c>
      <c r="G333" s="1" t="s">
        <v>23</v>
      </c>
      <c r="H333">
        <v>23704</v>
      </c>
      <c r="I333">
        <v>8</v>
      </c>
      <c r="J333">
        <v>2023</v>
      </c>
      <c r="K333" s="1" t="s">
        <v>867</v>
      </c>
      <c r="L333">
        <v>4</v>
      </c>
      <c r="M333" s="1">
        <v>189632</v>
      </c>
    </row>
    <row r="334" spans="1:13" x14ac:dyDescent="0.3">
      <c r="A334" s="1" t="s">
        <v>391</v>
      </c>
      <c r="B334" s="2">
        <v>45120</v>
      </c>
      <c r="C334" s="1" t="s">
        <v>73</v>
      </c>
      <c r="D334" s="1" t="s">
        <v>74</v>
      </c>
      <c r="E334" s="1" t="s">
        <v>29</v>
      </c>
      <c r="F334" s="1" t="s">
        <v>18</v>
      </c>
      <c r="G334" s="1" t="s">
        <v>23</v>
      </c>
      <c r="H334">
        <v>23436</v>
      </c>
      <c r="I334">
        <v>9</v>
      </c>
      <c r="J334">
        <v>2023</v>
      </c>
      <c r="K334" s="1" t="s">
        <v>864</v>
      </c>
      <c r="L334">
        <v>7</v>
      </c>
      <c r="M334" s="1">
        <v>210924</v>
      </c>
    </row>
    <row r="335" spans="1:13" x14ac:dyDescent="0.3">
      <c r="A335" s="1" t="s">
        <v>392</v>
      </c>
      <c r="B335" s="2">
        <v>45214</v>
      </c>
      <c r="C335" s="1" t="s">
        <v>16</v>
      </c>
      <c r="D335" s="1" t="s">
        <v>17</v>
      </c>
      <c r="E335" s="1" t="s">
        <v>29</v>
      </c>
      <c r="F335" s="1" t="s">
        <v>22</v>
      </c>
      <c r="G335" s="1" t="s">
        <v>40</v>
      </c>
      <c r="H335">
        <v>21195</v>
      </c>
      <c r="I335">
        <v>9</v>
      </c>
      <c r="J335">
        <v>2023</v>
      </c>
      <c r="K335" s="1" t="s">
        <v>865</v>
      </c>
      <c r="L335">
        <v>10</v>
      </c>
      <c r="M335" s="1">
        <v>190755</v>
      </c>
    </row>
    <row r="336" spans="1:13" x14ac:dyDescent="0.3">
      <c r="A336" s="1" t="s">
        <v>393</v>
      </c>
      <c r="B336" s="2">
        <v>44953</v>
      </c>
      <c r="C336" s="1" t="s">
        <v>109</v>
      </c>
      <c r="D336" s="1" t="s">
        <v>110</v>
      </c>
      <c r="E336" s="1" t="s">
        <v>29</v>
      </c>
      <c r="F336" s="1" t="s">
        <v>22</v>
      </c>
      <c r="G336" s="1" t="s">
        <v>40</v>
      </c>
      <c r="H336">
        <v>2451</v>
      </c>
      <c r="I336">
        <v>3</v>
      </c>
      <c r="J336">
        <v>2023</v>
      </c>
      <c r="K336" s="1" t="s">
        <v>868</v>
      </c>
      <c r="L336">
        <v>1</v>
      </c>
      <c r="M336" s="1">
        <v>7353</v>
      </c>
    </row>
    <row r="337" spans="1:13" x14ac:dyDescent="0.3">
      <c r="A337" s="1" t="s">
        <v>394</v>
      </c>
      <c r="B337" s="2">
        <v>45086</v>
      </c>
      <c r="C337" s="1" t="s">
        <v>77</v>
      </c>
      <c r="D337" s="1" t="s">
        <v>78</v>
      </c>
      <c r="E337" s="1" t="s">
        <v>29</v>
      </c>
      <c r="F337" s="1" t="s">
        <v>22</v>
      </c>
      <c r="G337" s="1" t="s">
        <v>23</v>
      </c>
      <c r="H337">
        <v>16702</v>
      </c>
      <c r="I337">
        <v>7</v>
      </c>
      <c r="J337">
        <v>2023</v>
      </c>
      <c r="K337" s="1" t="s">
        <v>863</v>
      </c>
      <c r="L337">
        <v>6</v>
      </c>
      <c r="M337" s="1">
        <v>116914</v>
      </c>
    </row>
    <row r="338" spans="1:13" x14ac:dyDescent="0.3">
      <c r="A338" s="1" t="s">
        <v>395</v>
      </c>
      <c r="B338" s="2">
        <v>45208</v>
      </c>
      <c r="C338" s="1" t="s">
        <v>38</v>
      </c>
      <c r="D338" s="1" t="s">
        <v>39</v>
      </c>
      <c r="E338" s="1" t="s">
        <v>29</v>
      </c>
      <c r="F338" s="1" t="s">
        <v>25</v>
      </c>
      <c r="G338" s="1" t="s">
        <v>14</v>
      </c>
      <c r="H338">
        <v>1434</v>
      </c>
      <c r="I338">
        <v>1</v>
      </c>
      <c r="J338">
        <v>2023</v>
      </c>
      <c r="K338" s="1" t="s">
        <v>865</v>
      </c>
      <c r="L338">
        <v>10</v>
      </c>
      <c r="M338" s="1">
        <v>1434</v>
      </c>
    </row>
    <row r="339" spans="1:13" x14ac:dyDescent="0.3">
      <c r="A339" s="1" t="s">
        <v>396</v>
      </c>
      <c r="B339" s="2">
        <v>45144</v>
      </c>
      <c r="C339" s="1" t="s">
        <v>109</v>
      </c>
      <c r="D339" s="1" t="s">
        <v>110</v>
      </c>
      <c r="E339" s="1" t="s">
        <v>29</v>
      </c>
      <c r="F339" s="1" t="s">
        <v>13</v>
      </c>
      <c r="G339" s="1" t="s">
        <v>40</v>
      </c>
      <c r="H339">
        <v>9807</v>
      </c>
      <c r="I339">
        <v>7</v>
      </c>
      <c r="J339">
        <v>2023</v>
      </c>
      <c r="K339" s="1" t="s">
        <v>874</v>
      </c>
      <c r="L339">
        <v>8</v>
      </c>
      <c r="M339" s="1">
        <v>68649</v>
      </c>
    </row>
    <row r="340" spans="1:13" x14ac:dyDescent="0.3">
      <c r="A340" s="1" t="s">
        <v>397</v>
      </c>
      <c r="B340" s="2">
        <v>44944</v>
      </c>
      <c r="C340" s="1" t="s">
        <v>73</v>
      </c>
      <c r="D340" s="1" t="s">
        <v>74</v>
      </c>
      <c r="E340" s="1" t="s">
        <v>36</v>
      </c>
      <c r="F340" s="1" t="s">
        <v>13</v>
      </c>
      <c r="G340" s="1" t="s">
        <v>40</v>
      </c>
      <c r="H340">
        <v>26322</v>
      </c>
      <c r="I340">
        <v>6</v>
      </c>
      <c r="J340">
        <v>2023</v>
      </c>
      <c r="K340" s="1" t="s">
        <v>868</v>
      </c>
      <c r="L340">
        <v>1</v>
      </c>
      <c r="M340" s="1">
        <v>157932</v>
      </c>
    </row>
    <row r="341" spans="1:13" x14ac:dyDescent="0.3">
      <c r="A341" s="1" t="s">
        <v>398</v>
      </c>
      <c r="B341" s="2">
        <v>45278</v>
      </c>
      <c r="C341" s="1" t="s">
        <v>77</v>
      </c>
      <c r="D341" s="1" t="s">
        <v>78</v>
      </c>
      <c r="E341" s="1" t="s">
        <v>36</v>
      </c>
      <c r="F341" s="1" t="s">
        <v>22</v>
      </c>
      <c r="G341" s="1" t="s">
        <v>14</v>
      </c>
      <c r="H341">
        <v>21780</v>
      </c>
      <c r="I341">
        <v>5</v>
      </c>
      <c r="J341">
        <v>2023</v>
      </c>
      <c r="K341" s="1" t="s">
        <v>869</v>
      </c>
      <c r="L341">
        <v>12</v>
      </c>
      <c r="M341" s="1">
        <v>108900</v>
      </c>
    </row>
    <row r="342" spans="1:13" x14ac:dyDescent="0.3">
      <c r="A342" s="1" t="s">
        <v>399</v>
      </c>
      <c r="B342" s="2">
        <v>45223</v>
      </c>
      <c r="C342" s="1" t="s">
        <v>67</v>
      </c>
      <c r="D342" s="1" t="s">
        <v>68</v>
      </c>
      <c r="E342" s="1" t="s">
        <v>12</v>
      </c>
      <c r="F342" s="1" t="s">
        <v>22</v>
      </c>
      <c r="G342" s="1" t="s">
        <v>40</v>
      </c>
      <c r="H342">
        <v>43620</v>
      </c>
      <c r="I342">
        <v>10</v>
      </c>
      <c r="J342">
        <v>2023</v>
      </c>
      <c r="K342" s="1" t="s">
        <v>865</v>
      </c>
      <c r="L342">
        <v>10</v>
      </c>
      <c r="M342" s="1">
        <v>436200</v>
      </c>
    </row>
    <row r="343" spans="1:13" x14ac:dyDescent="0.3">
      <c r="A343" s="1" t="s">
        <v>400</v>
      </c>
      <c r="B343" s="2">
        <v>45274</v>
      </c>
      <c r="C343" s="1" t="s">
        <v>47</v>
      </c>
      <c r="D343" s="1" t="s">
        <v>48</v>
      </c>
      <c r="E343" s="1" t="s">
        <v>29</v>
      </c>
      <c r="F343" s="1" t="s">
        <v>18</v>
      </c>
      <c r="G343" s="1" t="s">
        <v>23</v>
      </c>
      <c r="H343">
        <v>3933</v>
      </c>
      <c r="I343">
        <v>3</v>
      </c>
      <c r="J343">
        <v>2023</v>
      </c>
      <c r="K343" s="1" t="s">
        <v>869</v>
      </c>
      <c r="L343">
        <v>12</v>
      </c>
      <c r="M343" s="1">
        <v>11799</v>
      </c>
    </row>
    <row r="344" spans="1:13" x14ac:dyDescent="0.3">
      <c r="A344" s="1" t="s">
        <v>401</v>
      </c>
      <c r="B344" s="2">
        <v>44934</v>
      </c>
      <c r="C344" s="1" t="s">
        <v>10</v>
      </c>
      <c r="D344" s="1" t="s">
        <v>11</v>
      </c>
      <c r="E344" s="1" t="s">
        <v>36</v>
      </c>
      <c r="F344" s="1" t="s">
        <v>22</v>
      </c>
      <c r="G344" s="1" t="s">
        <v>14</v>
      </c>
      <c r="H344">
        <v>2154</v>
      </c>
      <c r="I344">
        <v>2</v>
      </c>
      <c r="J344">
        <v>2023</v>
      </c>
      <c r="K344" s="1" t="s">
        <v>868</v>
      </c>
      <c r="L344">
        <v>1</v>
      </c>
      <c r="M344" s="1">
        <v>4308</v>
      </c>
    </row>
    <row r="345" spans="1:13" x14ac:dyDescent="0.3">
      <c r="A345" s="1" t="s">
        <v>402</v>
      </c>
      <c r="B345" s="2">
        <v>45064</v>
      </c>
      <c r="C345" s="1" t="s">
        <v>10</v>
      </c>
      <c r="D345" s="1" t="s">
        <v>11</v>
      </c>
      <c r="E345" s="1" t="s">
        <v>29</v>
      </c>
      <c r="F345" s="1" t="s">
        <v>18</v>
      </c>
      <c r="G345" s="1" t="s">
        <v>23</v>
      </c>
      <c r="H345">
        <v>8666</v>
      </c>
      <c r="I345">
        <v>2</v>
      </c>
      <c r="J345">
        <v>2023</v>
      </c>
      <c r="K345" s="1" t="s">
        <v>872</v>
      </c>
      <c r="L345">
        <v>5</v>
      </c>
      <c r="M345" s="1">
        <v>17332</v>
      </c>
    </row>
    <row r="346" spans="1:13" x14ac:dyDescent="0.3">
      <c r="A346" s="1" t="s">
        <v>403</v>
      </c>
      <c r="B346" s="2">
        <v>45193</v>
      </c>
      <c r="C346" s="1" t="s">
        <v>20</v>
      </c>
      <c r="D346" s="1" t="s">
        <v>21</v>
      </c>
      <c r="E346" s="1" t="s">
        <v>12</v>
      </c>
      <c r="F346" s="1" t="s">
        <v>13</v>
      </c>
      <c r="G346" s="1" t="s">
        <v>14</v>
      </c>
      <c r="H346">
        <v>1784</v>
      </c>
      <c r="I346">
        <v>2</v>
      </c>
      <c r="J346">
        <v>2023</v>
      </c>
      <c r="K346" s="1" t="s">
        <v>866</v>
      </c>
      <c r="L346">
        <v>9</v>
      </c>
      <c r="M346" s="1">
        <v>3568</v>
      </c>
    </row>
    <row r="347" spans="1:13" x14ac:dyDescent="0.3">
      <c r="A347" s="1" t="s">
        <v>404</v>
      </c>
      <c r="B347" s="2">
        <v>45137</v>
      </c>
      <c r="C347" s="1" t="s">
        <v>109</v>
      </c>
      <c r="D347" s="1" t="s">
        <v>110</v>
      </c>
      <c r="E347" s="1" t="s">
        <v>29</v>
      </c>
      <c r="F347" s="1" t="s">
        <v>13</v>
      </c>
      <c r="G347" s="1" t="s">
        <v>14</v>
      </c>
      <c r="H347">
        <v>12315</v>
      </c>
      <c r="I347">
        <v>3</v>
      </c>
      <c r="J347">
        <v>2023</v>
      </c>
      <c r="K347" s="1" t="s">
        <v>864</v>
      </c>
      <c r="L347">
        <v>7</v>
      </c>
      <c r="M347" s="1">
        <v>36945</v>
      </c>
    </row>
    <row r="348" spans="1:13" x14ac:dyDescent="0.3">
      <c r="A348" s="1" t="s">
        <v>405</v>
      </c>
      <c r="B348" s="2">
        <v>45241</v>
      </c>
      <c r="C348" s="1" t="s">
        <v>123</v>
      </c>
      <c r="D348" s="1" t="s">
        <v>124</v>
      </c>
      <c r="E348" s="1" t="s">
        <v>29</v>
      </c>
      <c r="F348" s="1" t="s">
        <v>22</v>
      </c>
      <c r="G348" s="1" t="s">
        <v>14</v>
      </c>
      <c r="H348">
        <v>9810</v>
      </c>
      <c r="I348">
        <v>9</v>
      </c>
      <c r="J348">
        <v>2023</v>
      </c>
      <c r="K348" s="1" t="s">
        <v>873</v>
      </c>
      <c r="L348">
        <v>11</v>
      </c>
      <c r="M348" s="1">
        <v>88290</v>
      </c>
    </row>
    <row r="349" spans="1:13" x14ac:dyDescent="0.3">
      <c r="A349" s="1" t="s">
        <v>406</v>
      </c>
      <c r="B349" s="2">
        <v>45014</v>
      </c>
      <c r="C349" s="1" t="s">
        <v>137</v>
      </c>
      <c r="D349" s="1" t="s">
        <v>138</v>
      </c>
      <c r="E349" s="1" t="s">
        <v>12</v>
      </c>
      <c r="F349" s="1" t="s">
        <v>22</v>
      </c>
      <c r="G349" s="1" t="s">
        <v>40</v>
      </c>
      <c r="H349">
        <v>14588</v>
      </c>
      <c r="I349">
        <v>7</v>
      </c>
      <c r="J349">
        <v>2023</v>
      </c>
      <c r="K349" s="1" t="s">
        <v>870</v>
      </c>
      <c r="L349">
        <v>3</v>
      </c>
      <c r="M349" s="1">
        <v>102116</v>
      </c>
    </row>
    <row r="350" spans="1:13" x14ac:dyDescent="0.3">
      <c r="A350" s="1" t="s">
        <v>407</v>
      </c>
      <c r="B350" s="2">
        <v>45232</v>
      </c>
      <c r="C350" s="1" t="s">
        <v>73</v>
      </c>
      <c r="D350" s="1" t="s">
        <v>74</v>
      </c>
      <c r="E350" s="1" t="s">
        <v>36</v>
      </c>
      <c r="F350" s="1" t="s">
        <v>25</v>
      </c>
      <c r="G350" s="1" t="s">
        <v>40</v>
      </c>
      <c r="H350">
        <v>3615</v>
      </c>
      <c r="I350">
        <v>3</v>
      </c>
      <c r="J350">
        <v>2023</v>
      </c>
      <c r="K350" s="1" t="s">
        <v>873</v>
      </c>
      <c r="L350">
        <v>11</v>
      </c>
      <c r="M350" s="1">
        <v>10845</v>
      </c>
    </row>
    <row r="351" spans="1:13" x14ac:dyDescent="0.3">
      <c r="A351" s="1" t="s">
        <v>408</v>
      </c>
      <c r="B351" s="2">
        <v>45216</v>
      </c>
      <c r="C351" s="1" t="s">
        <v>123</v>
      </c>
      <c r="D351" s="1" t="s">
        <v>124</v>
      </c>
      <c r="E351" s="1" t="s">
        <v>36</v>
      </c>
      <c r="F351" s="1" t="s">
        <v>25</v>
      </c>
      <c r="G351" s="1" t="s">
        <v>14</v>
      </c>
      <c r="H351">
        <v>10075</v>
      </c>
      <c r="I351">
        <v>5</v>
      </c>
      <c r="J351">
        <v>2023</v>
      </c>
      <c r="K351" s="1" t="s">
        <v>865</v>
      </c>
      <c r="L351">
        <v>10</v>
      </c>
      <c r="M351" s="1">
        <v>50375</v>
      </c>
    </row>
    <row r="352" spans="1:13" x14ac:dyDescent="0.3">
      <c r="A352" s="1" t="s">
        <v>409</v>
      </c>
      <c r="B352" s="2">
        <v>44986</v>
      </c>
      <c r="C352" s="1" t="s">
        <v>64</v>
      </c>
      <c r="D352" s="1" t="s">
        <v>65</v>
      </c>
      <c r="E352" s="1" t="s">
        <v>36</v>
      </c>
      <c r="F352" s="1" t="s">
        <v>22</v>
      </c>
      <c r="G352" s="1" t="s">
        <v>14</v>
      </c>
      <c r="H352">
        <v>12548</v>
      </c>
      <c r="I352">
        <v>4</v>
      </c>
      <c r="J352">
        <v>2023</v>
      </c>
      <c r="K352" s="1" t="s">
        <v>870</v>
      </c>
      <c r="L352">
        <v>3</v>
      </c>
      <c r="M352" s="1">
        <v>50192</v>
      </c>
    </row>
    <row r="353" spans="1:13" x14ac:dyDescent="0.3">
      <c r="A353" s="1" t="s">
        <v>410</v>
      </c>
      <c r="B353" s="2">
        <v>45095</v>
      </c>
      <c r="C353" s="1" t="s">
        <v>89</v>
      </c>
      <c r="D353" s="1" t="s">
        <v>90</v>
      </c>
      <c r="E353" s="1" t="s">
        <v>12</v>
      </c>
      <c r="F353" s="1" t="s">
        <v>13</v>
      </c>
      <c r="G353" s="1" t="s">
        <v>40</v>
      </c>
      <c r="H353">
        <v>12339</v>
      </c>
      <c r="I353">
        <v>9</v>
      </c>
      <c r="J353">
        <v>2023</v>
      </c>
      <c r="K353" s="1" t="s">
        <v>863</v>
      </c>
      <c r="L353">
        <v>6</v>
      </c>
      <c r="M353" s="1">
        <v>111051</v>
      </c>
    </row>
    <row r="354" spans="1:13" x14ac:dyDescent="0.3">
      <c r="A354" s="1" t="s">
        <v>411</v>
      </c>
      <c r="B354" s="2">
        <v>45191</v>
      </c>
      <c r="C354" s="1" t="s">
        <v>34</v>
      </c>
      <c r="D354" s="1" t="s">
        <v>35</v>
      </c>
      <c r="E354" s="1" t="s">
        <v>12</v>
      </c>
      <c r="F354" s="1" t="s">
        <v>18</v>
      </c>
      <c r="G354" s="1" t="s">
        <v>23</v>
      </c>
      <c r="H354">
        <v>19210</v>
      </c>
      <c r="I354">
        <v>10</v>
      </c>
      <c r="J354">
        <v>2023</v>
      </c>
      <c r="K354" s="1" t="s">
        <v>866</v>
      </c>
      <c r="L354">
        <v>9</v>
      </c>
      <c r="M354" s="1">
        <v>192100</v>
      </c>
    </row>
    <row r="355" spans="1:13" x14ac:dyDescent="0.3">
      <c r="A355" s="1" t="s">
        <v>412</v>
      </c>
      <c r="B355" s="2">
        <v>45153</v>
      </c>
      <c r="C355" s="1" t="s">
        <v>38</v>
      </c>
      <c r="D355" s="1" t="s">
        <v>39</v>
      </c>
      <c r="E355" s="1" t="s">
        <v>12</v>
      </c>
      <c r="F355" s="1" t="s">
        <v>25</v>
      </c>
      <c r="G355" s="1" t="s">
        <v>23</v>
      </c>
      <c r="H355">
        <v>15036</v>
      </c>
      <c r="I355">
        <v>7</v>
      </c>
      <c r="J355">
        <v>2023</v>
      </c>
      <c r="K355" s="1" t="s">
        <v>874</v>
      </c>
      <c r="L355">
        <v>8</v>
      </c>
      <c r="M355" s="1">
        <v>105252</v>
      </c>
    </row>
    <row r="356" spans="1:13" x14ac:dyDescent="0.3">
      <c r="A356" s="1" t="s">
        <v>413</v>
      </c>
      <c r="B356" s="2">
        <v>45191</v>
      </c>
      <c r="C356" s="1" t="s">
        <v>77</v>
      </c>
      <c r="D356" s="1" t="s">
        <v>78</v>
      </c>
      <c r="E356" s="1" t="s">
        <v>29</v>
      </c>
      <c r="F356" s="1" t="s">
        <v>18</v>
      </c>
      <c r="G356" s="1" t="s">
        <v>23</v>
      </c>
      <c r="H356">
        <v>6265</v>
      </c>
      <c r="I356">
        <v>5</v>
      </c>
      <c r="J356">
        <v>2023</v>
      </c>
      <c r="K356" s="1" t="s">
        <v>866</v>
      </c>
      <c r="L356">
        <v>9</v>
      </c>
      <c r="M356" s="1">
        <v>31325</v>
      </c>
    </row>
    <row r="357" spans="1:13" x14ac:dyDescent="0.3">
      <c r="A357" s="1" t="s">
        <v>414</v>
      </c>
      <c r="B357" s="2">
        <v>45170</v>
      </c>
      <c r="C357" s="1" t="s">
        <v>50</v>
      </c>
      <c r="D357" s="1" t="s">
        <v>51</v>
      </c>
      <c r="E357" s="1" t="s">
        <v>12</v>
      </c>
      <c r="F357" s="1" t="s">
        <v>25</v>
      </c>
      <c r="G357" s="1" t="s">
        <v>40</v>
      </c>
      <c r="H357">
        <v>33777</v>
      </c>
      <c r="I357">
        <v>9</v>
      </c>
      <c r="J357">
        <v>2023</v>
      </c>
      <c r="K357" s="1" t="s">
        <v>866</v>
      </c>
      <c r="L357">
        <v>9</v>
      </c>
      <c r="M357" s="1">
        <v>303993</v>
      </c>
    </row>
    <row r="358" spans="1:13" x14ac:dyDescent="0.3">
      <c r="A358" s="1" t="s">
        <v>415</v>
      </c>
      <c r="B358" s="2">
        <v>45258</v>
      </c>
      <c r="C358" s="1" t="s">
        <v>47</v>
      </c>
      <c r="D358" s="1" t="s">
        <v>48</v>
      </c>
      <c r="E358" s="1" t="s">
        <v>29</v>
      </c>
      <c r="F358" s="1" t="s">
        <v>25</v>
      </c>
      <c r="G358" s="1" t="s">
        <v>40</v>
      </c>
      <c r="H358">
        <v>19812</v>
      </c>
      <c r="I358">
        <v>4</v>
      </c>
      <c r="J358">
        <v>2023</v>
      </c>
      <c r="K358" s="1" t="s">
        <v>873</v>
      </c>
      <c r="L358">
        <v>11</v>
      </c>
      <c r="M358" s="1">
        <v>79248</v>
      </c>
    </row>
    <row r="359" spans="1:13" x14ac:dyDescent="0.3">
      <c r="A359" s="1" t="s">
        <v>416</v>
      </c>
      <c r="B359" s="2">
        <v>44997</v>
      </c>
      <c r="C359" s="1" t="s">
        <v>109</v>
      </c>
      <c r="D359" s="1" t="s">
        <v>110</v>
      </c>
      <c r="E359" s="1" t="s">
        <v>29</v>
      </c>
      <c r="F359" s="1" t="s">
        <v>13</v>
      </c>
      <c r="G359" s="1" t="s">
        <v>23</v>
      </c>
      <c r="H359">
        <v>26454</v>
      </c>
      <c r="I359">
        <v>6</v>
      </c>
      <c r="J359">
        <v>2023</v>
      </c>
      <c r="K359" s="1" t="s">
        <v>870</v>
      </c>
      <c r="L359">
        <v>3</v>
      </c>
      <c r="M359" s="1">
        <v>158724</v>
      </c>
    </row>
    <row r="360" spans="1:13" x14ac:dyDescent="0.3">
      <c r="A360" s="1" t="s">
        <v>417</v>
      </c>
      <c r="B360" s="2">
        <v>44935</v>
      </c>
      <c r="C360" s="1" t="s">
        <v>73</v>
      </c>
      <c r="D360" s="1" t="s">
        <v>74</v>
      </c>
      <c r="E360" s="1" t="s">
        <v>12</v>
      </c>
      <c r="F360" s="1" t="s">
        <v>18</v>
      </c>
      <c r="G360" s="1" t="s">
        <v>14</v>
      </c>
      <c r="H360">
        <v>9945</v>
      </c>
      <c r="I360">
        <v>3</v>
      </c>
      <c r="J360">
        <v>2023</v>
      </c>
      <c r="K360" s="1" t="s">
        <v>868</v>
      </c>
      <c r="L360">
        <v>1</v>
      </c>
      <c r="M360" s="1">
        <v>29835</v>
      </c>
    </row>
    <row r="361" spans="1:13" x14ac:dyDescent="0.3">
      <c r="A361" s="1" t="s">
        <v>418</v>
      </c>
      <c r="B361" s="2">
        <v>45118</v>
      </c>
      <c r="C361" s="1" t="s">
        <v>20</v>
      </c>
      <c r="D361" s="1" t="s">
        <v>21</v>
      </c>
      <c r="E361" s="1" t="s">
        <v>12</v>
      </c>
      <c r="F361" s="1" t="s">
        <v>22</v>
      </c>
      <c r="G361" s="1" t="s">
        <v>40</v>
      </c>
      <c r="H361">
        <v>18725</v>
      </c>
      <c r="I361">
        <v>7</v>
      </c>
      <c r="J361">
        <v>2023</v>
      </c>
      <c r="K361" s="1" t="s">
        <v>864</v>
      </c>
      <c r="L361">
        <v>7</v>
      </c>
      <c r="M361" s="1">
        <v>131075</v>
      </c>
    </row>
    <row r="362" spans="1:13" x14ac:dyDescent="0.3">
      <c r="A362" s="1" t="s">
        <v>419</v>
      </c>
      <c r="B362" s="2">
        <v>44954</v>
      </c>
      <c r="C362" s="1" t="s">
        <v>38</v>
      </c>
      <c r="D362" s="1" t="s">
        <v>39</v>
      </c>
      <c r="E362" s="1" t="s">
        <v>12</v>
      </c>
      <c r="F362" s="1" t="s">
        <v>22</v>
      </c>
      <c r="G362" s="1" t="s">
        <v>14</v>
      </c>
      <c r="H362">
        <v>8337</v>
      </c>
      <c r="I362">
        <v>3</v>
      </c>
      <c r="J362">
        <v>2023</v>
      </c>
      <c r="K362" s="1" t="s">
        <v>868</v>
      </c>
      <c r="L362">
        <v>1</v>
      </c>
      <c r="M362" s="1">
        <v>25011</v>
      </c>
    </row>
    <row r="363" spans="1:13" x14ac:dyDescent="0.3">
      <c r="A363" s="1" t="s">
        <v>420</v>
      </c>
      <c r="B363" s="2">
        <v>45233</v>
      </c>
      <c r="C363" s="1" t="s">
        <v>61</v>
      </c>
      <c r="D363" s="1" t="s">
        <v>62</v>
      </c>
      <c r="E363" s="1" t="s">
        <v>36</v>
      </c>
      <c r="F363" s="1" t="s">
        <v>25</v>
      </c>
      <c r="G363" s="1" t="s">
        <v>23</v>
      </c>
      <c r="H363">
        <v>10670</v>
      </c>
      <c r="I363">
        <v>5</v>
      </c>
      <c r="J363">
        <v>2023</v>
      </c>
      <c r="K363" s="1" t="s">
        <v>873</v>
      </c>
      <c r="L363">
        <v>11</v>
      </c>
      <c r="M363" s="1">
        <v>53350</v>
      </c>
    </row>
    <row r="364" spans="1:13" x14ac:dyDescent="0.3">
      <c r="A364" s="1" t="s">
        <v>421</v>
      </c>
      <c r="B364" s="2">
        <v>45104</v>
      </c>
      <c r="C364" s="1" t="s">
        <v>77</v>
      </c>
      <c r="D364" s="1" t="s">
        <v>78</v>
      </c>
      <c r="E364" s="1" t="s">
        <v>12</v>
      </c>
      <c r="F364" s="1" t="s">
        <v>18</v>
      </c>
      <c r="G364" s="1" t="s">
        <v>14</v>
      </c>
      <c r="H364">
        <v>6414</v>
      </c>
      <c r="I364">
        <v>2</v>
      </c>
      <c r="J364">
        <v>2023</v>
      </c>
      <c r="K364" s="1" t="s">
        <v>863</v>
      </c>
      <c r="L364">
        <v>6</v>
      </c>
      <c r="M364" s="1">
        <v>12828</v>
      </c>
    </row>
    <row r="365" spans="1:13" x14ac:dyDescent="0.3">
      <c r="A365" s="1" t="s">
        <v>422</v>
      </c>
      <c r="B365" s="2">
        <v>45172</v>
      </c>
      <c r="C365" s="1" t="s">
        <v>10</v>
      </c>
      <c r="D365" s="1" t="s">
        <v>11</v>
      </c>
      <c r="E365" s="1" t="s">
        <v>29</v>
      </c>
      <c r="F365" s="1" t="s">
        <v>18</v>
      </c>
      <c r="G365" s="1" t="s">
        <v>14</v>
      </c>
      <c r="H365">
        <v>21150</v>
      </c>
      <c r="I365">
        <v>9</v>
      </c>
      <c r="J365">
        <v>2023</v>
      </c>
      <c r="K365" s="1" t="s">
        <v>866</v>
      </c>
      <c r="L365">
        <v>9</v>
      </c>
      <c r="M365" s="1">
        <v>190350</v>
      </c>
    </row>
    <row r="366" spans="1:13" x14ac:dyDescent="0.3">
      <c r="A366" s="1" t="s">
        <v>423</v>
      </c>
      <c r="B366" s="2">
        <v>45058</v>
      </c>
      <c r="C366" s="1" t="s">
        <v>89</v>
      </c>
      <c r="D366" s="1" t="s">
        <v>90</v>
      </c>
      <c r="E366" s="1" t="s">
        <v>29</v>
      </c>
      <c r="F366" s="1" t="s">
        <v>18</v>
      </c>
      <c r="G366" s="1" t="s">
        <v>23</v>
      </c>
      <c r="H366">
        <v>21416</v>
      </c>
      <c r="I366">
        <v>8</v>
      </c>
      <c r="J366">
        <v>2023</v>
      </c>
      <c r="K366" s="1" t="s">
        <v>872</v>
      </c>
      <c r="L366">
        <v>5</v>
      </c>
      <c r="M366" s="1">
        <v>171328</v>
      </c>
    </row>
    <row r="367" spans="1:13" x14ac:dyDescent="0.3">
      <c r="A367" s="1" t="s">
        <v>424</v>
      </c>
      <c r="B367" s="2">
        <v>45275</v>
      </c>
      <c r="C367" s="1" t="s">
        <v>77</v>
      </c>
      <c r="D367" s="1" t="s">
        <v>78</v>
      </c>
      <c r="E367" s="1" t="s">
        <v>29</v>
      </c>
      <c r="F367" s="1" t="s">
        <v>18</v>
      </c>
      <c r="G367" s="1" t="s">
        <v>40</v>
      </c>
      <c r="H367">
        <v>17142</v>
      </c>
      <c r="I367">
        <v>6</v>
      </c>
      <c r="J367">
        <v>2023</v>
      </c>
      <c r="K367" s="1" t="s">
        <v>869</v>
      </c>
      <c r="L367">
        <v>12</v>
      </c>
      <c r="M367" s="1">
        <v>102852</v>
      </c>
    </row>
    <row r="368" spans="1:13" x14ac:dyDescent="0.3">
      <c r="A368" s="1" t="s">
        <v>425</v>
      </c>
      <c r="B368" s="2">
        <v>45266</v>
      </c>
      <c r="C368" s="1" t="s">
        <v>38</v>
      </c>
      <c r="D368" s="1" t="s">
        <v>39</v>
      </c>
      <c r="E368" s="1" t="s">
        <v>36</v>
      </c>
      <c r="F368" s="1" t="s">
        <v>13</v>
      </c>
      <c r="G368" s="1" t="s">
        <v>23</v>
      </c>
      <c r="H368">
        <v>20240</v>
      </c>
      <c r="I368">
        <v>8</v>
      </c>
      <c r="J368">
        <v>2023</v>
      </c>
      <c r="K368" s="1" t="s">
        <v>869</v>
      </c>
      <c r="L368">
        <v>12</v>
      </c>
      <c r="M368" s="1">
        <v>161920</v>
      </c>
    </row>
    <row r="369" spans="1:13" x14ac:dyDescent="0.3">
      <c r="A369" s="1" t="s">
        <v>426</v>
      </c>
      <c r="B369" s="2">
        <v>44992</v>
      </c>
      <c r="C369" s="1" t="s">
        <v>77</v>
      </c>
      <c r="D369" s="1" t="s">
        <v>78</v>
      </c>
      <c r="E369" s="1" t="s">
        <v>36</v>
      </c>
      <c r="F369" s="1" t="s">
        <v>22</v>
      </c>
      <c r="G369" s="1" t="s">
        <v>14</v>
      </c>
      <c r="H369">
        <v>39267</v>
      </c>
      <c r="I369">
        <v>9</v>
      </c>
      <c r="J369">
        <v>2023</v>
      </c>
      <c r="K369" s="1" t="s">
        <v>870</v>
      </c>
      <c r="L369">
        <v>3</v>
      </c>
      <c r="M369" s="1">
        <v>353403</v>
      </c>
    </row>
    <row r="370" spans="1:13" x14ac:dyDescent="0.3">
      <c r="A370" s="1" t="s">
        <v>427</v>
      </c>
      <c r="B370" s="2">
        <v>44997</v>
      </c>
      <c r="C370" s="1" t="s">
        <v>31</v>
      </c>
      <c r="D370" s="1" t="s">
        <v>32</v>
      </c>
      <c r="E370" s="1" t="s">
        <v>29</v>
      </c>
      <c r="F370" s="1" t="s">
        <v>13</v>
      </c>
      <c r="G370" s="1" t="s">
        <v>40</v>
      </c>
      <c r="H370">
        <v>14889</v>
      </c>
      <c r="I370">
        <v>7</v>
      </c>
      <c r="J370">
        <v>2023</v>
      </c>
      <c r="K370" s="1" t="s">
        <v>870</v>
      </c>
      <c r="L370">
        <v>3</v>
      </c>
      <c r="M370" s="1">
        <v>104223</v>
      </c>
    </row>
    <row r="371" spans="1:13" x14ac:dyDescent="0.3">
      <c r="A371" s="1" t="s">
        <v>428</v>
      </c>
      <c r="B371" s="2">
        <v>45219</v>
      </c>
      <c r="C371" s="1" t="s">
        <v>53</v>
      </c>
      <c r="D371" s="1" t="s">
        <v>54</v>
      </c>
      <c r="E371" s="1" t="s">
        <v>36</v>
      </c>
      <c r="F371" s="1" t="s">
        <v>25</v>
      </c>
      <c r="G371" s="1" t="s">
        <v>14</v>
      </c>
      <c r="H371">
        <v>10550</v>
      </c>
      <c r="I371">
        <v>5</v>
      </c>
      <c r="J371">
        <v>2023</v>
      </c>
      <c r="K371" s="1" t="s">
        <v>865</v>
      </c>
      <c r="L371">
        <v>10</v>
      </c>
      <c r="M371" s="1">
        <v>52750</v>
      </c>
    </row>
    <row r="372" spans="1:13" x14ac:dyDescent="0.3">
      <c r="A372" s="1" t="s">
        <v>429</v>
      </c>
      <c r="B372" s="2">
        <v>44968</v>
      </c>
      <c r="C372" s="1" t="s">
        <v>77</v>
      </c>
      <c r="D372" s="1" t="s">
        <v>78</v>
      </c>
      <c r="E372" s="1" t="s">
        <v>29</v>
      </c>
      <c r="F372" s="1" t="s">
        <v>13</v>
      </c>
      <c r="G372" s="1" t="s">
        <v>40</v>
      </c>
      <c r="H372">
        <v>6174</v>
      </c>
      <c r="I372">
        <v>2</v>
      </c>
      <c r="J372">
        <v>2023</v>
      </c>
      <c r="K372" s="1" t="s">
        <v>871</v>
      </c>
      <c r="L372">
        <v>2</v>
      </c>
      <c r="M372" s="1">
        <v>12348</v>
      </c>
    </row>
    <row r="373" spans="1:13" x14ac:dyDescent="0.3">
      <c r="A373" s="1" t="s">
        <v>430</v>
      </c>
      <c r="B373" s="2">
        <v>45073</v>
      </c>
      <c r="C373" s="1" t="s">
        <v>61</v>
      </c>
      <c r="D373" s="1" t="s">
        <v>62</v>
      </c>
      <c r="E373" s="1" t="s">
        <v>29</v>
      </c>
      <c r="F373" s="1" t="s">
        <v>18</v>
      </c>
      <c r="G373" s="1" t="s">
        <v>23</v>
      </c>
      <c r="H373">
        <v>10692</v>
      </c>
      <c r="I373">
        <v>9</v>
      </c>
      <c r="J373">
        <v>2023</v>
      </c>
      <c r="K373" s="1" t="s">
        <v>872</v>
      </c>
      <c r="L373">
        <v>5</v>
      </c>
      <c r="M373" s="1">
        <v>96228</v>
      </c>
    </row>
    <row r="374" spans="1:13" x14ac:dyDescent="0.3">
      <c r="A374" s="1" t="s">
        <v>431</v>
      </c>
      <c r="B374" s="2">
        <v>45113</v>
      </c>
      <c r="C374" s="1" t="s">
        <v>64</v>
      </c>
      <c r="D374" s="1" t="s">
        <v>65</v>
      </c>
      <c r="E374" s="1" t="s">
        <v>36</v>
      </c>
      <c r="F374" s="1" t="s">
        <v>22</v>
      </c>
      <c r="G374" s="1" t="s">
        <v>14</v>
      </c>
      <c r="H374">
        <v>31234</v>
      </c>
      <c r="I374">
        <v>7</v>
      </c>
      <c r="J374">
        <v>2023</v>
      </c>
      <c r="K374" s="1" t="s">
        <v>864</v>
      </c>
      <c r="L374">
        <v>7</v>
      </c>
      <c r="M374" s="1">
        <v>218638</v>
      </c>
    </row>
    <row r="375" spans="1:13" x14ac:dyDescent="0.3">
      <c r="A375" s="1" t="s">
        <v>432</v>
      </c>
      <c r="B375" s="2">
        <v>45114</v>
      </c>
      <c r="C375" s="1" t="s">
        <v>61</v>
      </c>
      <c r="D375" s="1" t="s">
        <v>62</v>
      </c>
      <c r="E375" s="1" t="s">
        <v>36</v>
      </c>
      <c r="F375" s="1" t="s">
        <v>25</v>
      </c>
      <c r="G375" s="1" t="s">
        <v>23</v>
      </c>
      <c r="H375">
        <v>4426</v>
      </c>
      <c r="I375">
        <v>1</v>
      </c>
      <c r="J375">
        <v>2023</v>
      </c>
      <c r="K375" s="1" t="s">
        <v>864</v>
      </c>
      <c r="L375">
        <v>7</v>
      </c>
      <c r="M375" s="1">
        <v>4426</v>
      </c>
    </row>
    <row r="376" spans="1:13" x14ac:dyDescent="0.3">
      <c r="A376" s="1" t="s">
        <v>433</v>
      </c>
      <c r="B376" s="2">
        <v>45181</v>
      </c>
      <c r="C376" s="1" t="s">
        <v>61</v>
      </c>
      <c r="D376" s="1" t="s">
        <v>62</v>
      </c>
      <c r="E376" s="1" t="s">
        <v>36</v>
      </c>
      <c r="F376" s="1" t="s">
        <v>22</v>
      </c>
      <c r="G376" s="1" t="s">
        <v>14</v>
      </c>
      <c r="H376">
        <v>11109</v>
      </c>
      <c r="I376">
        <v>7</v>
      </c>
      <c r="J376">
        <v>2023</v>
      </c>
      <c r="K376" s="1" t="s">
        <v>866</v>
      </c>
      <c r="L376">
        <v>9</v>
      </c>
      <c r="M376" s="1">
        <v>77763</v>
      </c>
    </row>
    <row r="377" spans="1:13" x14ac:dyDescent="0.3">
      <c r="A377" s="1" t="s">
        <v>434</v>
      </c>
      <c r="B377" s="2">
        <v>45106</v>
      </c>
      <c r="C377" s="1" t="s">
        <v>31</v>
      </c>
      <c r="D377" s="1" t="s">
        <v>32</v>
      </c>
      <c r="E377" s="1" t="s">
        <v>36</v>
      </c>
      <c r="F377" s="1" t="s">
        <v>13</v>
      </c>
      <c r="G377" s="1" t="s">
        <v>14</v>
      </c>
      <c r="H377">
        <v>4048</v>
      </c>
      <c r="I377">
        <v>2</v>
      </c>
      <c r="J377">
        <v>2023</v>
      </c>
      <c r="K377" s="1" t="s">
        <v>863</v>
      </c>
      <c r="L377">
        <v>6</v>
      </c>
      <c r="M377" s="1">
        <v>8096</v>
      </c>
    </row>
    <row r="378" spans="1:13" x14ac:dyDescent="0.3">
      <c r="A378" s="1" t="s">
        <v>435</v>
      </c>
      <c r="B378" s="2">
        <v>45284</v>
      </c>
      <c r="C378" s="1" t="s">
        <v>73</v>
      </c>
      <c r="D378" s="1" t="s">
        <v>74</v>
      </c>
      <c r="E378" s="1" t="s">
        <v>12</v>
      </c>
      <c r="F378" s="1" t="s">
        <v>25</v>
      </c>
      <c r="G378" s="1" t="s">
        <v>23</v>
      </c>
      <c r="H378">
        <v>12456</v>
      </c>
      <c r="I378">
        <v>6</v>
      </c>
      <c r="J378">
        <v>2023</v>
      </c>
      <c r="K378" s="1" t="s">
        <v>869</v>
      </c>
      <c r="L378">
        <v>12</v>
      </c>
      <c r="M378" s="1">
        <v>74736</v>
      </c>
    </row>
    <row r="379" spans="1:13" x14ac:dyDescent="0.3">
      <c r="A379" s="1" t="s">
        <v>436</v>
      </c>
      <c r="B379" s="2">
        <v>45210</v>
      </c>
      <c r="C379" s="1" t="s">
        <v>109</v>
      </c>
      <c r="D379" s="1" t="s">
        <v>110</v>
      </c>
      <c r="E379" s="1" t="s">
        <v>12</v>
      </c>
      <c r="F379" s="1" t="s">
        <v>18</v>
      </c>
      <c r="G379" s="1" t="s">
        <v>40</v>
      </c>
      <c r="H379">
        <v>20200</v>
      </c>
      <c r="I379">
        <v>10</v>
      </c>
      <c r="J379">
        <v>2023</v>
      </c>
      <c r="K379" s="1" t="s">
        <v>865</v>
      </c>
      <c r="L379">
        <v>10</v>
      </c>
      <c r="M379" s="1">
        <v>202000</v>
      </c>
    </row>
    <row r="380" spans="1:13" x14ac:dyDescent="0.3">
      <c r="A380" s="1" t="s">
        <v>437</v>
      </c>
      <c r="B380" s="2">
        <v>45070</v>
      </c>
      <c r="C380" s="1" t="s">
        <v>67</v>
      </c>
      <c r="D380" s="1" t="s">
        <v>68</v>
      </c>
      <c r="E380" s="1" t="s">
        <v>29</v>
      </c>
      <c r="F380" s="1" t="s">
        <v>25</v>
      </c>
      <c r="G380" s="1" t="s">
        <v>23</v>
      </c>
      <c r="H380">
        <v>6550</v>
      </c>
      <c r="I380">
        <v>2</v>
      </c>
      <c r="J380">
        <v>2023</v>
      </c>
      <c r="K380" s="1" t="s">
        <v>872</v>
      </c>
      <c r="L380">
        <v>5</v>
      </c>
      <c r="M380" s="1">
        <v>13100</v>
      </c>
    </row>
    <row r="381" spans="1:13" x14ac:dyDescent="0.3">
      <c r="A381" s="1" t="s">
        <v>438</v>
      </c>
      <c r="B381" s="2">
        <v>44950</v>
      </c>
      <c r="C381" s="1" t="s">
        <v>43</v>
      </c>
      <c r="D381" s="1" t="s">
        <v>44</v>
      </c>
      <c r="E381" s="1" t="s">
        <v>29</v>
      </c>
      <c r="F381" s="1" t="s">
        <v>13</v>
      </c>
      <c r="G381" s="1" t="s">
        <v>40</v>
      </c>
      <c r="H381">
        <v>20776</v>
      </c>
      <c r="I381">
        <v>8</v>
      </c>
      <c r="J381">
        <v>2023</v>
      </c>
      <c r="K381" s="1" t="s">
        <v>868</v>
      </c>
      <c r="L381">
        <v>1</v>
      </c>
      <c r="M381" s="1">
        <v>166208</v>
      </c>
    </row>
    <row r="382" spans="1:13" x14ac:dyDescent="0.3">
      <c r="A382" s="1" t="s">
        <v>439</v>
      </c>
      <c r="B382" s="2">
        <v>44999</v>
      </c>
      <c r="C382" s="1" t="s">
        <v>73</v>
      </c>
      <c r="D382" s="1" t="s">
        <v>74</v>
      </c>
      <c r="E382" s="1" t="s">
        <v>29</v>
      </c>
      <c r="F382" s="1" t="s">
        <v>25</v>
      </c>
      <c r="G382" s="1" t="s">
        <v>23</v>
      </c>
      <c r="H382">
        <v>30807</v>
      </c>
      <c r="I382">
        <v>7</v>
      </c>
      <c r="J382">
        <v>2023</v>
      </c>
      <c r="K382" s="1" t="s">
        <v>870</v>
      </c>
      <c r="L382">
        <v>3</v>
      </c>
      <c r="M382" s="1">
        <v>215649</v>
      </c>
    </row>
    <row r="383" spans="1:13" x14ac:dyDescent="0.3">
      <c r="A383" s="1" t="s">
        <v>440</v>
      </c>
      <c r="B383" s="2">
        <v>45204</v>
      </c>
      <c r="C383" s="1" t="s">
        <v>61</v>
      </c>
      <c r="D383" s="1" t="s">
        <v>62</v>
      </c>
      <c r="E383" s="1" t="s">
        <v>36</v>
      </c>
      <c r="F383" s="1" t="s">
        <v>13</v>
      </c>
      <c r="G383" s="1" t="s">
        <v>23</v>
      </c>
      <c r="H383">
        <v>19680</v>
      </c>
      <c r="I383">
        <v>8</v>
      </c>
      <c r="J383">
        <v>2023</v>
      </c>
      <c r="K383" s="1" t="s">
        <v>865</v>
      </c>
      <c r="L383">
        <v>10</v>
      </c>
      <c r="M383" s="1">
        <v>157440</v>
      </c>
    </row>
    <row r="384" spans="1:13" x14ac:dyDescent="0.3">
      <c r="A384" s="1" t="s">
        <v>441</v>
      </c>
      <c r="B384" s="2">
        <v>45145</v>
      </c>
      <c r="C384" s="1" t="s">
        <v>53</v>
      </c>
      <c r="D384" s="1" t="s">
        <v>54</v>
      </c>
      <c r="E384" s="1" t="s">
        <v>12</v>
      </c>
      <c r="F384" s="1" t="s">
        <v>22</v>
      </c>
      <c r="G384" s="1" t="s">
        <v>23</v>
      </c>
      <c r="H384">
        <v>20010</v>
      </c>
      <c r="I384">
        <v>10</v>
      </c>
      <c r="J384">
        <v>2023</v>
      </c>
      <c r="K384" s="1" t="s">
        <v>874</v>
      </c>
      <c r="L384">
        <v>8</v>
      </c>
      <c r="M384" s="1">
        <v>200100</v>
      </c>
    </row>
    <row r="385" spans="1:13" x14ac:dyDescent="0.3">
      <c r="A385" s="1" t="s">
        <v>442</v>
      </c>
      <c r="B385" s="2">
        <v>45144</v>
      </c>
      <c r="C385" s="1" t="s">
        <v>109</v>
      </c>
      <c r="D385" s="1" t="s">
        <v>110</v>
      </c>
      <c r="E385" s="1" t="s">
        <v>29</v>
      </c>
      <c r="F385" s="1" t="s">
        <v>18</v>
      </c>
      <c r="G385" s="1" t="s">
        <v>23</v>
      </c>
      <c r="H385">
        <v>6374</v>
      </c>
      <c r="I385">
        <v>2</v>
      </c>
      <c r="J385">
        <v>2023</v>
      </c>
      <c r="K385" s="1" t="s">
        <v>874</v>
      </c>
      <c r="L385">
        <v>8</v>
      </c>
      <c r="M385" s="1">
        <v>12748</v>
      </c>
    </row>
    <row r="386" spans="1:13" x14ac:dyDescent="0.3">
      <c r="A386" s="1" t="s">
        <v>443</v>
      </c>
      <c r="B386" s="2">
        <v>44927</v>
      </c>
      <c r="C386" s="1" t="s">
        <v>38</v>
      </c>
      <c r="D386" s="1" t="s">
        <v>39</v>
      </c>
      <c r="E386" s="1" t="s">
        <v>29</v>
      </c>
      <c r="F386" s="1" t="s">
        <v>18</v>
      </c>
      <c r="G386" s="1" t="s">
        <v>40</v>
      </c>
      <c r="H386">
        <v>8790</v>
      </c>
      <c r="I386">
        <v>2</v>
      </c>
      <c r="J386">
        <v>2023</v>
      </c>
      <c r="K386" s="1" t="s">
        <v>868</v>
      </c>
      <c r="L386">
        <v>1</v>
      </c>
      <c r="M386" s="1">
        <v>17580</v>
      </c>
    </row>
    <row r="387" spans="1:13" x14ac:dyDescent="0.3">
      <c r="A387" s="1" t="s">
        <v>444</v>
      </c>
      <c r="B387" s="2">
        <v>45020</v>
      </c>
      <c r="C387" s="1" t="s">
        <v>34</v>
      </c>
      <c r="D387" s="1" t="s">
        <v>35</v>
      </c>
      <c r="E387" s="1" t="s">
        <v>29</v>
      </c>
      <c r="F387" s="1" t="s">
        <v>22</v>
      </c>
      <c r="G387" s="1" t="s">
        <v>40</v>
      </c>
      <c r="H387">
        <v>6732</v>
      </c>
      <c r="I387">
        <v>3</v>
      </c>
      <c r="J387">
        <v>2023</v>
      </c>
      <c r="K387" s="1" t="s">
        <v>867</v>
      </c>
      <c r="L387">
        <v>4</v>
      </c>
      <c r="M387" s="1">
        <v>20196</v>
      </c>
    </row>
    <row r="388" spans="1:13" x14ac:dyDescent="0.3">
      <c r="A388" s="1" t="s">
        <v>445</v>
      </c>
      <c r="B388" s="2">
        <v>45154</v>
      </c>
      <c r="C388" s="1" t="s">
        <v>73</v>
      </c>
      <c r="D388" s="1" t="s">
        <v>74</v>
      </c>
      <c r="E388" s="1" t="s">
        <v>29</v>
      </c>
      <c r="F388" s="1" t="s">
        <v>25</v>
      </c>
      <c r="G388" s="1" t="s">
        <v>23</v>
      </c>
      <c r="H388">
        <v>29910</v>
      </c>
      <c r="I388">
        <v>10</v>
      </c>
      <c r="J388">
        <v>2023</v>
      </c>
      <c r="K388" s="1" t="s">
        <v>874</v>
      </c>
      <c r="L388">
        <v>8</v>
      </c>
      <c r="M388" s="1">
        <v>299100</v>
      </c>
    </row>
    <row r="389" spans="1:13" x14ac:dyDescent="0.3">
      <c r="A389" s="1" t="s">
        <v>446</v>
      </c>
      <c r="B389" s="2">
        <v>45126</v>
      </c>
      <c r="C389" s="1" t="s">
        <v>53</v>
      </c>
      <c r="D389" s="1" t="s">
        <v>54</v>
      </c>
      <c r="E389" s="1" t="s">
        <v>12</v>
      </c>
      <c r="F389" s="1" t="s">
        <v>18</v>
      </c>
      <c r="G389" s="1" t="s">
        <v>23</v>
      </c>
      <c r="H389">
        <v>15570</v>
      </c>
      <c r="I389">
        <v>10</v>
      </c>
      <c r="J389">
        <v>2023</v>
      </c>
      <c r="K389" s="1" t="s">
        <v>864</v>
      </c>
      <c r="L389">
        <v>7</v>
      </c>
      <c r="M389" s="1">
        <v>155700</v>
      </c>
    </row>
    <row r="390" spans="1:13" x14ac:dyDescent="0.3">
      <c r="A390" s="1" t="s">
        <v>447</v>
      </c>
      <c r="B390" s="2">
        <v>45262</v>
      </c>
      <c r="C390" s="1" t="s">
        <v>27</v>
      </c>
      <c r="D390" s="1" t="s">
        <v>28</v>
      </c>
      <c r="E390" s="1" t="s">
        <v>29</v>
      </c>
      <c r="F390" s="1" t="s">
        <v>22</v>
      </c>
      <c r="G390" s="1" t="s">
        <v>23</v>
      </c>
      <c r="H390">
        <v>11919</v>
      </c>
      <c r="I390">
        <v>3</v>
      </c>
      <c r="J390">
        <v>2023</v>
      </c>
      <c r="K390" s="1" t="s">
        <v>869</v>
      </c>
      <c r="L390">
        <v>12</v>
      </c>
      <c r="M390" s="1">
        <v>35757</v>
      </c>
    </row>
    <row r="391" spans="1:13" x14ac:dyDescent="0.3">
      <c r="A391" s="1" t="s">
        <v>448</v>
      </c>
      <c r="B391" s="2">
        <v>45012</v>
      </c>
      <c r="C391" s="1" t="s">
        <v>10</v>
      </c>
      <c r="D391" s="1" t="s">
        <v>11</v>
      </c>
      <c r="E391" s="1" t="s">
        <v>29</v>
      </c>
      <c r="F391" s="1" t="s">
        <v>25</v>
      </c>
      <c r="G391" s="1" t="s">
        <v>40</v>
      </c>
      <c r="H391">
        <v>12753</v>
      </c>
      <c r="I391">
        <v>9</v>
      </c>
      <c r="J391">
        <v>2023</v>
      </c>
      <c r="K391" s="1" t="s">
        <v>870</v>
      </c>
      <c r="L391">
        <v>3</v>
      </c>
      <c r="M391" s="1">
        <v>114777</v>
      </c>
    </row>
    <row r="392" spans="1:13" x14ac:dyDescent="0.3">
      <c r="A392" s="1" t="s">
        <v>449</v>
      </c>
      <c r="B392" s="2">
        <v>45181</v>
      </c>
      <c r="C392" s="1" t="s">
        <v>47</v>
      </c>
      <c r="D392" s="1" t="s">
        <v>48</v>
      </c>
      <c r="E392" s="1" t="s">
        <v>36</v>
      </c>
      <c r="F392" s="1" t="s">
        <v>22</v>
      </c>
      <c r="G392" s="1" t="s">
        <v>40</v>
      </c>
      <c r="H392">
        <v>3646</v>
      </c>
      <c r="I392">
        <v>2</v>
      </c>
      <c r="J392">
        <v>2023</v>
      </c>
      <c r="K392" s="1" t="s">
        <v>866</v>
      </c>
      <c r="L392">
        <v>9</v>
      </c>
      <c r="M392" s="1">
        <v>7292</v>
      </c>
    </row>
    <row r="393" spans="1:13" x14ac:dyDescent="0.3">
      <c r="A393" s="1" t="s">
        <v>450</v>
      </c>
      <c r="B393" s="2">
        <v>45258</v>
      </c>
      <c r="C393" s="1" t="s">
        <v>137</v>
      </c>
      <c r="D393" s="1" t="s">
        <v>138</v>
      </c>
      <c r="E393" s="1" t="s">
        <v>36</v>
      </c>
      <c r="F393" s="1" t="s">
        <v>18</v>
      </c>
      <c r="G393" s="1" t="s">
        <v>14</v>
      </c>
      <c r="H393">
        <v>9775</v>
      </c>
      <c r="I393">
        <v>5</v>
      </c>
      <c r="J393">
        <v>2023</v>
      </c>
      <c r="K393" s="1" t="s">
        <v>873</v>
      </c>
      <c r="L393">
        <v>11</v>
      </c>
      <c r="M393" s="1">
        <v>48875</v>
      </c>
    </row>
    <row r="394" spans="1:13" x14ac:dyDescent="0.3">
      <c r="A394" s="1" t="s">
        <v>451</v>
      </c>
      <c r="B394" s="2">
        <v>45201</v>
      </c>
      <c r="C394" s="1" t="s">
        <v>34</v>
      </c>
      <c r="D394" s="1" t="s">
        <v>35</v>
      </c>
      <c r="E394" s="1" t="s">
        <v>29</v>
      </c>
      <c r="F394" s="1" t="s">
        <v>13</v>
      </c>
      <c r="G394" s="1" t="s">
        <v>23</v>
      </c>
      <c r="H394">
        <v>32553</v>
      </c>
      <c r="I394">
        <v>9</v>
      </c>
      <c r="J394">
        <v>2023</v>
      </c>
      <c r="K394" s="1" t="s">
        <v>865</v>
      </c>
      <c r="L394">
        <v>10</v>
      </c>
      <c r="M394" s="1">
        <v>292977</v>
      </c>
    </row>
    <row r="395" spans="1:13" x14ac:dyDescent="0.3">
      <c r="A395" s="1" t="s">
        <v>452</v>
      </c>
      <c r="B395" s="2">
        <v>45126</v>
      </c>
      <c r="C395" s="1" t="s">
        <v>64</v>
      </c>
      <c r="D395" s="1" t="s">
        <v>65</v>
      </c>
      <c r="E395" s="1" t="s">
        <v>36</v>
      </c>
      <c r="F395" s="1" t="s">
        <v>22</v>
      </c>
      <c r="G395" s="1" t="s">
        <v>14</v>
      </c>
      <c r="H395">
        <v>38950</v>
      </c>
      <c r="I395">
        <v>10</v>
      </c>
      <c r="J395">
        <v>2023</v>
      </c>
      <c r="K395" s="1" t="s">
        <v>864</v>
      </c>
      <c r="L395">
        <v>7</v>
      </c>
      <c r="M395" s="1">
        <v>389500</v>
      </c>
    </row>
    <row r="396" spans="1:13" x14ac:dyDescent="0.3">
      <c r="A396" s="1" t="s">
        <v>453</v>
      </c>
      <c r="B396" s="2">
        <v>44994</v>
      </c>
      <c r="C396" s="1" t="s">
        <v>31</v>
      </c>
      <c r="D396" s="1" t="s">
        <v>32</v>
      </c>
      <c r="E396" s="1" t="s">
        <v>29</v>
      </c>
      <c r="F396" s="1" t="s">
        <v>13</v>
      </c>
      <c r="G396" s="1" t="s">
        <v>40</v>
      </c>
      <c r="H396">
        <v>38890</v>
      </c>
      <c r="I396">
        <v>10</v>
      </c>
      <c r="J396">
        <v>2023</v>
      </c>
      <c r="K396" s="1" t="s">
        <v>870</v>
      </c>
      <c r="L396">
        <v>3</v>
      </c>
      <c r="M396" s="1">
        <v>388900</v>
      </c>
    </row>
    <row r="397" spans="1:13" x14ac:dyDescent="0.3">
      <c r="A397" s="1" t="s">
        <v>454</v>
      </c>
      <c r="B397" s="2">
        <v>45177</v>
      </c>
      <c r="C397" s="1" t="s">
        <v>16</v>
      </c>
      <c r="D397" s="1" t="s">
        <v>17</v>
      </c>
      <c r="E397" s="1" t="s">
        <v>36</v>
      </c>
      <c r="F397" s="1" t="s">
        <v>22</v>
      </c>
      <c r="G397" s="1" t="s">
        <v>14</v>
      </c>
      <c r="H397">
        <v>22050</v>
      </c>
      <c r="I397">
        <v>6</v>
      </c>
      <c r="J397">
        <v>2023</v>
      </c>
      <c r="K397" s="1" t="s">
        <v>866</v>
      </c>
      <c r="L397">
        <v>9</v>
      </c>
      <c r="M397" s="1">
        <v>132300</v>
      </c>
    </row>
    <row r="398" spans="1:13" x14ac:dyDescent="0.3">
      <c r="A398" s="1" t="s">
        <v>455</v>
      </c>
      <c r="B398" s="2">
        <v>45138</v>
      </c>
      <c r="C398" s="1" t="s">
        <v>10</v>
      </c>
      <c r="D398" s="1" t="s">
        <v>11</v>
      </c>
      <c r="E398" s="1" t="s">
        <v>12</v>
      </c>
      <c r="F398" s="1" t="s">
        <v>13</v>
      </c>
      <c r="G398" s="1" t="s">
        <v>40</v>
      </c>
      <c r="H398">
        <v>6888</v>
      </c>
      <c r="I398">
        <v>6</v>
      </c>
      <c r="J398">
        <v>2023</v>
      </c>
      <c r="K398" s="1" t="s">
        <v>864</v>
      </c>
      <c r="L398">
        <v>7</v>
      </c>
      <c r="M398" s="1">
        <v>41328</v>
      </c>
    </row>
    <row r="399" spans="1:13" x14ac:dyDescent="0.3">
      <c r="A399" s="1" t="s">
        <v>456</v>
      </c>
      <c r="B399" s="2">
        <v>45212</v>
      </c>
      <c r="C399" s="1" t="s">
        <v>53</v>
      </c>
      <c r="D399" s="1" t="s">
        <v>54</v>
      </c>
      <c r="E399" s="1" t="s">
        <v>29</v>
      </c>
      <c r="F399" s="1" t="s">
        <v>18</v>
      </c>
      <c r="G399" s="1" t="s">
        <v>14</v>
      </c>
      <c r="H399">
        <v>5170</v>
      </c>
      <c r="I399">
        <v>2</v>
      </c>
      <c r="J399">
        <v>2023</v>
      </c>
      <c r="K399" s="1" t="s">
        <v>865</v>
      </c>
      <c r="L399">
        <v>10</v>
      </c>
      <c r="M399" s="1">
        <v>10340</v>
      </c>
    </row>
    <row r="400" spans="1:13" x14ac:dyDescent="0.3">
      <c r="A400" s="1" t="s">
        <v>457</v>
      </c>
      <c r="B400" s="2">
        <v>45049</v>
      </c>
      <c r="C400" s="1" t="s">
        <v>38</v>
      </c>
      <c r="D400" s="1" t="s">
        <v>39</v>
      </c>
      <c r="E400" s="1" t="s">
        <v>36</v>
      </c>
      <c r="F400" s="1" t="s">
        <v>22</v>
      </c>
      <c r="G400" s="1" t="s">
        <v>23</v>
      </c>
      <c r="H400">
        <v>18801</v>
      </c>
      <c r="I400">
        <v>9</v>
      </c>
      <c r="J400">
        <v>2023</v>
      </c>
      <c r="K400" s="1" t="s">
        <v>872</v>
      </c>
      <c r="L400">
        <v>5</v>
      </c>
      <c r="M400" s="1">
        <v>169209</v>
      </c>
    </row>
    <row r="401" spans="1:13" x14ac:dyDescent="0.3">
      <c r="A401" s="1" t="s">
        <v>458</v>
      </c>
      <c r="B401" s="2">
        <v>44972</v>
      </c>
      <c r="C401" s="1" t="s">
        <v>61</v>
      </c>
      <c r="D401" s="1" t="s">
        <v>62</v>
      </c>
      <c r="E401" s="1" t="s">
        <v>12</v>
      </c>
      <c r="F401" s="1" t="s">
        <v>18</v>
      </c>
      <c r="G401" s="1" t="s">
        <v>40</v>
      </c>
      <c r="H401">
        <v>27419</v>
      </c>
      <c r="I401">
        <v>7</v>
      </c>
      <c r="J401">
        <v>2023</v>
      </c>
      <c r="K401" s="1" t="s">
        <v>871</v>
      </c>
      <c r="L401">
        <v>2</v>
      </c>
      <c r="M401" s="1">
        <v>191933</v>
      </c>
    </row>
    <row r="402" spans="1:13" x14ac:dyDescent="0.3">
      <c r="A402" s="1" t="s">
        <v>459</v>
      </c>
      <c r="B402" s="2">
        <v>45052</v>
      </c>
      <c r="C402" s="1" t="s">
        <v>50</v>
      </c>
      <c r="D402" s="1" t="s">
        <v>51</v>
      </c>
      <c r="E402" s="1" t="s">
        <v>12</v>
      </c>
      <c r="F402" s="1" t="s">
        <v>18</v>
      </c>
      <c r="G402" s="1" t="s">
        <v>23</v>
      </c>
      <c r="H402">
        <v>48300</v>
      </c>
      <c r="I402">
        <v>10</v>
      </c>
      <c r="J402">
        <v>2023</v>
      </c>
      <c r="K402" s="1" t="s">
        <v>872</v>
      </c>
      <c r="L402">
        <v>5</v>
      </c>
      <c r="M402" s="1">
        <v>483000</v>
      </c>
    </row>
    <row r="403" spans="1:13" x14ac:dyDescent="0.3">
      <c r="A403" s="1" t="s">
        <v>460</v>
      </c>
      <c r="B403" s="2">
        <v>45097</v>
      </c>
      <c r="C403" s="1" t="s">
        <v>53</v>
      </c>
      <c r="D403" s="1" t="s">
        <v>54</v>
      </c>
      <c r="E403" s="1" t="s">
        <v>12</v>
      </c>
      <c r="F403" s="1" t="s">
        <v>22</v>
      </c>
      <c r="G403" s="1" t="s">
        <v>14</v>
      </c>
      <c r="H403">
        <v>37880</v>
      </c>
      <c r="I403">
        <v>8</v>
      </c>
      <c r="J403">
        <v>2023</v>
      </c>
      <c r="K403" s="1" t="s">
        <v>863</v>
      </c>
      <c r="L403">
        <v>6</v>
      </c>
      <c r="M403" s="1">
        <v>303040</v>
      </c>
    </row>
    <row r="404" spans="1:13" x14ac:dyDescent="0.3">
      <c r="A404" s="1" t="s">
        <v>461</v>
      </c>
      <c r="B404" s="2">
        <v>45070</v>
      </c>
      <c r="C404" s="1" t="s">
        <v>27</v>
      </c>
      <c r="D404" s="1" t="s">
        <v>28</v>
      </c>
      <c r="E404" s="1" t="s">
        <v>12</v>
      </c>
      <c r="F404" s="1" t="s">
        <v>18</v>
      </c>
      <c r="G404" s="1" t="s">
        <v>23</v>
      </c>
      <c r="H404">
        <v>3552</v>
      </c>
      <c r="I404">
        <v>2</v>
      </c>
      <c r="J404">
        <v>2023</v>
      </c>
      <c r="K404" s="1" t="s">
        <v>872</v>
      </c>
      <c r="L404">
        <v>5</v>
      </c>
      <c r="M404" s="1">
        <v>7104</v>
      </c>
    </row>
    <row r="405" spans="1:13" x14ac:dyDescent="0.3">
      <c r="A405" s="1" t="s">
        <v>462</v>
      </c>
      <c r="B405" s="2">
        <v>45254</v>
      </c>
      <c r="C405" s="1" t="s">
        <v>53</v>
      </c>
      <c r="D405" s="1" t="s">
        <v>54</v>
      </c>
      <c r="E405" s="1" t="s">
        <v>12</v>
      </c>
      <c r="F405" s="1" t="s">
        <v>13</v>
      </c>
      <c r="G405" s="1" t="s">
        <v>14</v>
      </c>
      <c r="H405">
        <v>25473</v>
      </c>
      <c r="I405">
        <v>7</v>
      </c>
      <c r="J405">
        <v>2023</v>
      </c>
      <c r="K405" s="1" t="s">
        <v>873</v>
      </c>
      <c r="L405">
        <v>11</v>
      </c>
      <c r="M405" s="1">
        <v>178311</v>
      </c>
    </row>
    <row r="406" spans="1:13" x14ac:dyDescent="0.3">
      <c r="A406" s="1" t="s">
        <v>463</v>
      </c>
      <c r="B406" s="2">
        <v>44933</v>
      </c>
      <c r="C406" s="1" t="s">
        <v>73</v>
      </c>
      <c r="D406" s="1" t="s">
        <v>74</v>
      </c>
      <c r="E406" s="1" t="s">
        <v>29</v>
      </c>
      <c r="F406" s="1" t="s">
        <v>18</v>
      </c>
      <c r="G406" s="1" t="s">
        <v>40</v>
      </c>
      <c r="H406">
        <v>1060</v>
      </c>
      <c r="I406">
        <v>1</v>
      </c>
      <c r="J406">
        <v>2023</v>
      </c>
      <c r="K406" s="1" t="s">
        <v>868</v>
      </c>
      <c r="L406">
        <v>1</v>
      </c>
      <c r="M406" s="1">
        <v>1060</v>
      </c>
    </row>
    <row r="407" spans="1:13" x14ac:dyDescent="0.3">
      <c r="A407" s="1" t="s">
        <v>464</v>
      </c>
      <c r="B407" s="2">
        <v>44968</v>
      </c>
      <c r="C407" s="1" t="s">
        <v>34</v>
      </c>
      <c r="D407" s="1" t="s">
        <v>35</v>
      </c>
      <c r="E407" s="1" t="s">
        <v>12</v>
      </c>
      <c r="F407" s="1" t="s">
        <v>18</v>
      </c>
      <c r="G407" s="1" t="s">
        <v>40</v>
      </c>
      <c r="H407">
        <v>2720</v>
      </c>
      <c r="I407">
        <v>1</v>
      </c>
      <c r="J407">
        <v>2023</v>
      </c>
      <c r="K407" s="1" t="s">
        <v>871</v>
      </c>
      <c r="L407">
        <v>2</v>
      </c>
      <c r="M407" s="1">
        <v>2720</v>
      </c>
    </row>
    <row r="408" spans="1:13" x14ac:dyDescent="0.3">
      <c r="A408" s="1" t="s">
        <v>465</v>
      </c>
      <c r="B408" s="2">
        <v>44956</v>
      </c>
      <c r="C408" s="1" t="s">
        <v>43</v>
      </c>
      <c r="D408" s="1" t="s">
        <v>44</v>
      </c>
      <c r="E408" s="1" t="s">
        <v>36</v>
      </c>
      <c r="F408" s="1" t="s">
        <v>18</v>
      </c>
      <c r="G408" s="1" t="s">
        <v>23</v>
      </c>
      <c r="H408">
        <v>3088</v>
      </c>
      <c r="I408">
        <v>2</v>
      </c>
      <c r="J408">
        <v>2023</v>
      </c>
      <c r="K408" s="1" t="s">
        <v>868</v>
      </c>
      <c r="L408">
        <v>1</v>
      </c>
      <c r="M408" s="1">
        <v>6176</v>
      </c>
    </row>
    <row r="409" spans="1:13" x14ac:dyDescent="0.3">
      <c r="A409" s="1" t="s">
        <v>466</v>
      </c>
      <c r="B409" s="2">
        <v>45040</v>
      </c>
      <c r="C409" s="1" t="s">
        <v>31</v>
      </c>
      <c r="D409" s="1" t="s">
        <v>32</v>
      </c>
      <c r="E409" s="1" t="s">
        <v>36</v>
      </c>
      <c r="F409" s="1" t="s">
        <v>13</v>
      </c>
      <c r="G409" s="1" t="s">
        <v>14</v>
      </c>
      <c r="H409">
        <v>16964</v>
      </c>
      <c r="I409">
        <v>4</v>
      </c>
      <c r="J409">
        <v>2023</v>
      </c>
      <c r="K409" s="1" t="s">
        <v>867</v>
      </c>
      <c r="L409">
        <v>4</v>
      </c>
      <c r="M409" s="1">
        <v>67856</v>
      </c>
    </row>
    <row r="410" spans="1:13" x14ac:dyDescent="0.3">
      <c r="A410" s="1" t="s">
        <v>467</v>
      </c>
      <c r="B410" s="2">
        <v>44990</v>
      </c>
      <c r="C410" s="1" t="s">
        <v>137</v>
      </c>
      <c r="D410" s="1" t="s">
        <v>138</v>
      </c>
      <c r="E410" s="1" t="s">
        <v>12</v>
      </c>
      <c r="F410" s="1" t="s">
        <v>18</v>
      </c>
      <c r="G410" s="1" t="s">
        <v>14</v>
      </c>
      <c r="H410">
        <v>18110</v>
      </c>
      <c r="I410">
        <v>10</v>
      </c>
      <c r="J410">
        <v>2023</v>
      </c>
      <c r="K410" s="1" t="s">
        <v>870</v>
      </c>
      <c r="L410">
        <v>3</v>
      </c>
      <c r="M410" s="1">
        <v>181100</v>
      </c>
    </row>
    <row r="411" spans="1:13" x14ac:dyDescent="0.3">
      <c r="A411" s="1" t="s">
        <v>468</v>
      </c>
      <c r="B411" s="2">
        <v>45206</v>
      </c>
      <c r="C411" s="1" t="s">
        <v>109</v>
      </c>
      <c r="D411" s="1" t="s">
        <v>110</v>
      </c>
      <c r="E411" s="1" t="s">
        <v>36</v>
      </c>
      <c r="F411" s="1" t="s">
        <v>13</v>
      </c>
      <c r="G411" s="1" t="s">
        <v>14</v>
      </c>
      <c r="H411">
        <v>2676</v>
      </c>
      <c r="I411">
        <v>1</v>
      </c>
      <c r="J411">
        <v>2023</v>
      </c>
      <c r="K411" s="1" t="s">
        <v>865</v>
      </c>
      <c r="L411">
        <v>10</v>
      </c>
      <c r="M411" s="1">
        <v>2676</v>
      </c>
    </row>
    <row r="412" spans="1:13" x14ac:dyDescent="0.3">
      <c r="A412" s="1" t="s">
        <v>469</v>
      </c>
      <c r="B412" s="2">
        <v>44927</v>
      </c>
      <c r="C412" s="1" t="s">
        <v>50</v>
      </c>
      <c r="D412" s="1" t="s">
        <v>51</v>
      </c>
      <c r="E412" s="1" t="s">
        <v>36</v>
      </c>
      <c r="F412" s="1" t="s">
        <v>25</v>
      </c>
      <c r="G412" s="1" t="s">
        <v>23</v>
      </c>
      <c r="H412">
        <v>23600</v>
      </c>
      <c r="I412">
        <v>8</v>
      </c>
      <c r="J412">
        <v>2023</v>
      </c>
      <c r="K412" s="1" t="s">
        <v>868</v>
      </c>
      <c r="L412">
        <v>1</v>
      </c>
      <c r="M412" s="1">
        <v>188800</v>
      </c>
    </row>
    <row r="413" spans="1:13" x14ac:dyDescent="0.3">
      <c r="A413" s="1" t="s">
        <v>470</v>
      </c>
      <c r="B413" s="2">
        <v>45247</v>
      </c>
      <c r="C413" s="1" t="s">
        <v>20</v>
      </c>
      <c r="D413" s="1" t="s">
        <v>21</v>
      </c>
      <c r="E413" s="1" t="s">
        <v>36</v>
      </c>
      <c r="F413" s="1" t="s">
        <v>25</v>
      </c>
      <c r="G413" s="1" t="s">
        <v>14</v>
      </c>
      <c r="H413">
        <v>22386</v>
      </c>
      <c r="I413">
        <v>7</v>
      </c>
      <c r="J413">
        <v>2023</v>
      </c>
      <c r="K413" s="1" t="s">
        <v>873</v>
      </c>
      <c r="L413">
        <v>11</v>
      </c>
      <c r="M413" s="1">
        <v>156702</v>
      </c>
    </row>
    <row r="414" spans="1:13" x14ac:dyDescent="0.3">
      <c r="A414" s="1" t="s">
        <v>471</v>
      </c>
      <c r="B414" s="2">
        <v>45034</v>
      </c>
      <c r="C414" s="1" t="s">
        <v>137</v>
      </c>
      <c r="D414" s="1" t="s">
        <v>138</v>
      </c>
      <c r="E414" s="1" t="s">
        <v>12</v>
      </c>
      <c r="F414" s="1" t="s">
        <v>25</v>
      </c>
      <c r="G414" s="1" t="s">
        <v>40</v>
      </c>
      <c r="H414">
        <v>17545</v>
      </c>
      <c r="I414">
        <v>5</v>
      </c>
      <c r="J414">
        <v>2023</v>
      </c>
      <c r="K414" s="1" t="s">
        <v>867</v>
      </c>
      <c r="L414">
        <v>4</v>
      </c>
      <c r="M414" s="1">
        <v>87725</v>
      </c>
    </row>
    <row r="415" spans="1:13" x14ac:dyDescent="0.3">
      <c r="A415" s="1" t="s">
        <v>472</v>
      </c>
      <c r="B415" s="2">
        <v>45164</v>
      </c>
      <c r="C415" s="1" t="s">
        <v>20</v>
      </c>
      <c r="D415" s="1" t="s">
        <v>21</v>
      </c>
      <c r="E415" s="1" t="s">
        <v>29</v>
      </c>
      <c r="F415" s="1" t="s">
        <v>18</v>
      </c>
      <c r="G415" s="1" t="s">
        <v>14</v>
      </c>
      <c r="H415">
        <v>10130</v>
      </c>
      <c r="I415">
        <v>5</v>
      </c>
      <c r="J415">
        <v>2023</v>
      </c>
      <c r="K415" s="1" t="s">
        <v>874</v>
      </c>
      <c r="L415">
        <v>8</v>
      </c>
      <c r="M415" s="1">
        <v>50650</v>
      </c>
    </row>
    <row r="416" spans="1:13" x14ac:dyDescent="0.3">
      <c r="A416" s="1" t="s">
        <v>473</v>
      </c>
      <c r="B416" s="2">
        <v>44980</v>
      </c>
      <c r="C416" s="1" t="s">
        <v>109</v>
      </c>
      <c r="D416" s="1" t="s">
        <v>110</v>
      </c>
      <c r="E416" s="1" t="s">
        <v>36</v>
      </c>
      <c r="F416" s="1" t="s">
        <v>13</v>
      </c>
      <c r="G416" s="1" t="s">
        <v>23</v>
      </c>
      <c r="H416">
        <v>7298</v>
      </c>
      <c r="I416">
        <v>2</v>
      </c>
      <c r="J416">
        <v>2023</v>
      </c>
      <c r="K416" s="1" t="s">
        <v>871</v>
      </c>
      <c r="L416">
        <v>2</v>
      </c>
      <c r="M416" s="1">
        <v>14596</v>
      </c>
    </row>
    <row r="417" spans="1:13" x14ac:dyDescent="0.3">
      <c r="A417" s="1" t="s">
        <v>474</v>
      </c>
      <c r="B417" s="2">
        <v>45190</v>
      </c>
      <c r="C417" s="1" t="s">
        <v>38</v>
      </c>
      <c r="D417" s="1" t="s">
        <v>39</v>
      </c>
      <c r="E417" s="1" t="s">
        <v>36</v>
      </c>
      <c r="F417" s="1" t="s">
        <v>22</v>
      </c>
      <c r="G417" s="1" t="s">
        <v>14</v>
      </c>
      <c r="H417">
        <v>9615</v>
      </c>
      <c r="I417">
        <v>5</v>
      </c>
      <c r="J417">
        <v>2023</v>
      </c>
      <c r="K417" s="1" t="s">
        <v>866</v>
      </c>
      <c r="L417">
        <v>9</v>
      </c>
      <c r="M417" s="1">
        <v>48075</v>
      </c>
    </row>
    <row r="418" spans="1:13" x14ac:dyDescent="0.3">
      <c r="A418" s="1" t="s">
        <v>475</v>
      </c>
      <c r="B418" s="2">
        <v>45255</v>
      </c>
      <c r="C418" s="1" t="s">
        <v>123</v>
      </c>
      <c r="D418" s="1" t="s">
        <v>124</v>
      </c>
      <c r="E418" s="1" t="s">
        <v>29</v>
      </c>
      <c r="F418" s="1" t="s">
        <v>22</v>
      </c>
      <c r="G418" s="1" t="s">
        <v>40</v>
      </c>
      <c r="H418">
        <v>24689</v>
      </c>
      <c r="I418">
        <v>7</v>
      </c>
      <c r="J418">
        <v>2023</v>
      </c>
      <c r="K418" s="1" t="s">
        <v>873</v>
      </c>
      <c r="L418">
        <v>11</v>
      </c>
      <c r="M418" s="1">
        <v>172823</v>
      </c>
    </row>
    <row r="419" spans="1:13" x14ac:dyDescent="0.3">
      <c r="A419" s="1" t="s">
        <v>476</v>
      </c>
      <c r="B419" s="2">
        <v>44983</v>
      </c>
      <c r="C419" s="1" t="s">
        <v>47</v>
      </c>
      <c r="D419" s="1" t="s">
        <v>48</v>
      </c>
      <c r="E419" s="1" t="s">
        <v>36</v>
      </c>
      <c r="F419" s="1" t="s">
        <v>18</v>
      </c>
      <c r="G419" s="1" t="s">
        <v>14</v>
      </c>
      <c r="H419">
        <v>15792</v>
      </c>
      <c r="I419">
        <v>7</v>
      </c>
      <c r="J419">
        <v>2023</v>
      </c>
      <c r="K419" s="1" t="s">
        <v>871</v>
      </c>
      <c r="L419">
        <v>2</v>
      </c>
      <c r="M419" s="1">
        <v>110544</v>
      </c>
    </row>
    <row r="420" spans="1:13" x14ac:dyDescent="0.3">
      <c r="A420" s="1" t="s">
        <v>477</v>
      </c>
      <c r="B420" s="2">
        <v>45106</v>
      </c>
      <c r="C420" s="1" t="s">
        <v>50</v>
      </c>
      <c r="D420" s="1" t="s">
        <v>51</v>
      </c>
      <c r="E420" s="1" t="s">
        <v>29</v>
      </c>
      <c r="F420" s="1" t="s">
        <v>18</v>
      </c>
      <c r="G420" s="1" t="s">
        <v>23</v>
      </c>
      <c r="H420">
        <v>37260</v>
      </c>
      <c r="I420">
        <v>10</v>
      </c>
      <c r="J420">
        <v>2023</v>
      </c>
      <c r="K420" s="1" t="s">
        <v>863</v>
      </c>
      <c r="L420">
        <v>6</v>
      </c>
      <c r="M420" s="1">
        <v>372600</v>
      </c>
    </row>
    <row r="421" spans="1:13" x14ac:dyDescent="0.3">
      <c r="A421" s="1" t="s">
        <v>478</v>
      </c>
      <c r="B421" s="2">
        <v>44932</v>
      </c>
      <c r="C421" s="1" t="s">
        <v>53</v>
      </c>
      <c r="D421" s="1" t="s">
        <v>54</v>
      </c>
      <c r="E421" s="1" t="s">
        <v>12</v>
      </c>
      <c r="F421" s="1" t="s">
        <v>22</v>
      </c>
      <c r="G421" s="1" t="s">
        <v>23</v>
      </c>
      <c r="H421">
        <v>13811</v>
      </c>
      <c r="I421">
        <v>7</v>
      </c>
      <c r="J421">
        <v>2023</v>
      </c>
      <c r="K421" s="1" t="s">
        <v>868</v>
      </c>
      <c r="L421">
        <v>1</v>
      </c>
      <c r="M421" s="1">
        <v>96677</v>
      </c>
    </row>
    <row r="422" spans="1:13" x14ac:dyDescent="0.3">
      <c r="A422" s="1" t="s">
        <v>479</v>
      </c>
      <c r="B422" s="2">
        <v>45205</v>
      </c>
      <c r="C422" s="1" t="s">
        <v>61</v>
      </c>
      <c r="D422" s="1" t="s">
        <v>62</v>
      </c>
      <c r="E422" s="1" t="s">
        <v>36</v>
      </c>
      <c r="F422" s="1" t="s">
        <v>18</v>
      </c>
      <c r="G422" s="1" t="s">
        <v>40</v>
      </c>
      <c r="H422">
        <v>18950</v>
      </c>
      <c r="I422">
        <v>10</v>
      </c>
      <c r="J422">
        <v>2023</v>
      </c>
      <c r="K422" s="1" t="s">
        <v>865</v>
      </c>
      <c r="L422">
        <v>10</v>
      </c>
      <c r="M422" s="1">
        <v>189500</v>
      </c>
    </row>
    <row r="423" spans="1:13" x14ac:dyDescent="0.3">
      <c r="A423" s="1" t="s">
        <v>480</v>
      </c>
      <c r="B423" s="2">
        <v>45052</v>
      </c>
      <c r="C423" s="1" t="s">
        <v>47</v>
      </c>
      <c r="D423" s="1" t="s">
        <v>48</v>
      </c>
      <c r="E423" s="1" t="s">
        <v>36</v>
      </c>
      <c r="F423" s="1" t="s">
        <v>25</v>
      </c>
      <c r="G423" s="1" t="s">
        <v>14</v>
      </c>
      <c r="H423">
        <v>1017</v>
      </c>
      <c r="I423">
        <v>1</v>
      </c>
      <c r="J423">
        <v>2023</v>
      </c>
      <c r="K423" s="1" t="s">
        <v>872</v>
      </c>
      <c r="L423">
        <v>5</v>
      </c>
      <c r="M423" s="1">
        <v>1017</v>
      </c>
    </row>
    <row r="424" spans="1:13" x14ac:dyDescent="0.3">
      <c r="A424" s="1" t="s">
        <v>481</v>
      </c>
      <c r="B424" s="2">
        <v>45076</v>
      </c>
      <c r="C424" s="1" t="s">
        <v>64</v>
      </c>
      <c r="D424" s="1" t="s">
        <v>65</v>
      </c>
      <c r="E424" s="1" t="s">
        <v>12</v>
      </c>
      <c r="F424" s="1" t="s">
        <v>25</v>
      </c>
      <c r="G424" s="1" t="s">
        <v>14</v>
      </c>
      <c r="H424">
        <v>11904</v>
      </c>
      <c r="I424">
        <v>8</v>
      </c>
      <c r="J424">
        <v>2023</v>
      </c>
      <c r="K424" s="1" t="s">
        <v>872</v>
      </c>
      <c r="L424">
        <v>5</v>
      </c>
      <c r="M424" s="1">
        <v>95232</v>
      </c>
    </row>
    <row r="425" spans="1:13" x14ac:dyDescent="0.3">
      <c r="A425" s="1" t="s">
        <v>482</v>
      </c>
      <c r="B425" s="2">
        <v>45104</v>
      </c>
      <c r="C425" s="1" t="s">
        <v>47</v>
      </c>
      <c r="D425" s="1" t="s">
        <v>48</v>
      </c>
      <c r="E425" s="1" t="s">
        <v>12</v>
      </c>
      <c r="F425" s="1" t="s">
        <v>22</v>
      </c>
      <c r="G425" s="1" t="s">
        <v>14</v>
      </c>
      <c r="H425">
        <v>14216</v>
      </c>
      <c r="I425">
        <v>8</v>
      </c>
      <c r="J425">
        <v>2023</v>
      </c>
      <c r="K425" s="1" t="s">
        <v>863</v>
      </c>
      <c r="L425">
        <v>6</v>
      </c>
      <c r="M425" s="1">
        <v>113728</v>
      </c>
    </row>
    <row r="426" spans="1:13" x14ac:dyDescent="0.3">
      <c r="A426" s="1" t="s">
        <v>483</v>
      </c>
      <c r="B426" s="2">
        <v>45112</v>
      </c>
      <c r="C426" s="1" t="s">
        <v>27</v>
      </c>
      <c r="D426" s="1" t="s">
        <v>28</v>
      </c>
      <c r="E426" s="1" t="s">
        <v>29</v>
      </c>
      <c r="F426" s="1" t="s">
        <v>22</v>
      </c>
      <c r="G426" s="1" t="s">
        <v>14</v>
      </c>
      <c r="H426">
        <v>11202</v>
      </c>
      <c r="I426">
        <v>3</v>
      </c>
      <c r="J426">
        <v>2023</v>
      </c>
      <c r="K426" s="1" t="s">
        <v>864</v>
      </c>
      <c r="L426">
        <v>7</v>
      </c>
      <c r="M426" s="1">
        <v>33606</v>
      </c>
    </row>
    <row r="427" spans="1:13" x14ac:dyDescent="0.3">
      <c r="A427" s="1" t="s">
        <v>484</v>
      </c>
      <c r="B427" s="2">
        <v>45193</v>
      </c>
      <c r="C427" s="1" t="s">
        <v>61</v>
      </c>
      <c r="D427" s="1" t="s">
        <v>62</v>
      </c>
      <c r="E427" s="1" t="s">
        <v>29</v>
      </c>
      <c r="F427" s="1" t="s">
        <v>25</v>
      </c>
      <c r="G427" s="1" t="s">
        <v>40</v>
      </c>
      <c r="H427">
        <v>11528</v>
      </c>
      <c r="I427">
        <v>8</v>
      </c>
      <c r="J427">
        <v>2023</v>
      </c>
      <c r="K427" s="1" t="s">
        <v>866</v>
      </c>
      <c r="L427">
        <v>9</v>
      </c>
      <c r="M427" s="1">
        <v>92224</v>
      </c>
    </row>
    <row r="428" spans="1:13" x14ac:dyDescent="0.3">
      <c r="A428" s="1" t="s">
        <v>485</v>
      </c>
      <c r="B428" s="2">
        <v>45187</v>
      </c>
      <c r="C428" s="1" t="s">
        <v>34</v>
      </c>
      <c r="D428" s="1" t="s">
        <v>35</v>
      </c>
      <c r="E428" s="1" t="s">
        <v>12</v>
      </c>
      <c r="F428" s="1" t="s">
        <v>18</v>
      </c>
      <c r="G428" s="1" t="s">
        <v>14</v>
      </c>
      <c r="H428">
        <v>9234</v>
      </c>
      <c r="I428">
        <v>6</v>
      </c>
      <c r="J428">
        <v>2023</v>
      </c>
      <c r="K428" s="1" t="s">
        <v>866</v>
      </c>
      <c r="L428">
        <v>9</v>
      </c>
      <c r="M428" s="1">
        <v>55404</v>
      </c>
    </row>
    <row r="429" spans="1:13" x14ac:dyDescent="0.3">
      <c r="A429" s="1" t="s">
        <v>486</v>
      </c>
      <c r="B429" s="2">
        <v>45146</v>
      </c>
      <c r="C429" s="1" t="s">
        <v>73</v>
      </c>
      <c r="D429" s="1" t="s">
        <v>74</v>
      </c>
      <c r="E429" s="1" t="s">
        <v>29</v>
      </c>
      <c r="F429" s="1" t="s">
        <v>13</v>
      </c>
      <c r="G429" s="1" t="s">
        <v>23</v>
      </c>
      <c r="H429">
        <v>4712</v>
      </c>
      <c r="I429">
        <v>2</v>
      </c>
      <c r="J429">
        <v>2023</v>
      </c>
      <c r="K429" s="1" t="s">
        <v>874</v>
      </c>
      <c r="L429">
        <v>8</v>
      </c>
      <c r="M429" s="1">
        <v>9424</v>
      </c>
    </row>
    <row r="430" spans="1:13" x14ac:dyDescent="0.3">
      <c r="A430" s="1" t="s">
        <v>487</v>
      </c>
      <c r="B430" s="2">
        <v>44974</v>
      </c>
      <c r="C430" s="1" t="s">
        <v>16</v>
      </c>
      <c r="D430" s="1" t="s">
        <v>17</v>
      </c>
      <c r="E430" s="1" t="s">
        <v>36</v>
      </c>
      <c r="F430" s="1" t="s">
        <v>13</v>
      </c>
      <c r="G430" s="1" t="s">
        <v>40</v>
      </c>
      <c r="H430">
        <v>7575</v>
      </c>
      <c r="I430">
        <v>3</v>
      </c>
      <c r="J430">
        <v>2023</v>
      </c>
      <c r="K430" s="1" t="s">
        <v>871</v>
      </c>
      <c r="L430">
        <v>2</v>
      </c>
      <c r="M430" s="1">
        <v>22725</v>
      </c>
    </row>
    <row r="431" spans="1:13" x14ac:dyDescent="0.3">
      <c r="A431" s="1" t="s">
        <v>488</v>
      </c>
      <c r="B431" s="2">
        <v>45079</v>
      </c>
      <c r="C431" s="1" t="s">
        <v>67</v>
      </c>
      <c r="D431" s="1" t="s">
        <v>68</v>
      </c>
      <c r="E431" s="1" t="s">
        <v>12</v>
      </c>
      <c r="F431" s="1" t="s">
        <v>18</v>
      </c>
      <c r="G431" s="1" t="s">
        <v>23</v>
      </c>
      <c r="H431">
        <v>6600</v>
      </c>
      <c r="I431">
        <v>4</v>
      </c>
      <c r="J431">
        <v>2023</v>
      </c>
      <c r="K431" s="1" t="s">
        <v>863</v>
      </c>
      <c r="L431">
        <v>6</v>
      </c>
      <c r="M431" s="1">
        <v>26400</v>
      </c>
    </row>
    <row r="432" spans="1:13" x14ac:dyDescent="0.3">
      <c r="A432" s="1" t="s">
        <v>489</v>
      </c>
      <c r="B432" s="2">
        <v>45256</v>
      </c>
      <c r="C432" s="1" t="s">
        <v>31</v>
      </c>
      <c r="D432" s="1" t="s">
        <v>32</v>
      </c>
      <c r="E432" s="1" t="s">
        <v>36</v>
      </c>
      <c r="F432" s="1" t="s">
        <v>22</v>
      </c>
      <c r="G432" s="1" t="s">
        <v>14</v>
      </c>
      <c r="H432">
        <v>28670</v>
      </c>
      <c r="I432">
        <v>10</v>
      </c>
      <c r="J432">
        <v>2023</v>
      </c>
      <c r="K432" s="1" t="s">
        <v>873</v>
      </c>
      <c r="L432">
        <v>11</v>
      </c>
      <c r="M432" s="1">
        <v>286700</v>
      </c>
    </row>
    <row r="433" spans="1:13" x14ac:dyDescent="0.3">
      <c r="A433" s="1" t="s">
        <v>490</v>
      </c>
      <c r="B433" s="2">
        <v>45062</v>
      </c>
      <c r="C433" s="1" t="s">
        <v>137</v>
      </c>
      <c r="D433" s="1" t="s">
        <v>138</v>
      </c>
      <c r="E433" s="1" t="s">
        <v>29</v>
      </c>
      <c r="F433" s="1" t="s">
        <v>22</v>
      </c>
      <c r="G433" s="1" t="s">
        <v>23</v>
      </c>
      <c r="H433">
        <v>15192</v>
      </c>
      <c r="I433">
        <v>6</v>
      </c>
      <c r="J433">
        <v>2023</v>
      </c>
      <c r="K433" s="1" t="s">
        <v>872</v>
      </c>
      <c r="L433">
        <v>5</v>
      </c>
      <c r="M433" s="1">
        <v>91152</v>
      </c>
    </row>
    <row r="434" spans="1:13" x14ac:dyDescent="0.3">
      <c r="A434" s="1" t="s">
        <v>491</v>
      </c>
      <c r="B434" s="2">
        <v>45084</v>
      </c>
      <c r="C434" s="1" t="s">
        <v>50</v>
      </c>
      <c r="D434" s="1" t="s">
        <v>51</v>
      </c>
      <c r="E434" s="1" t="s">
        <v>36</v>
      </c>
      <c r="F434" s="1" t="s">
        <v>18</v>
      </c>
      <c r="G434" s="1" t="s">
        <v>40</v>
      </c>
      <c r="H434">
        <v>14373</v>
      </c>
      <c r="I434">
        <v>9</v>
      </c>
      <c r="J434">
        <v>2023</v>
      </c>
      <c r="K434" s="1" t="s">
        <v>863</v>
      </c>
      <c r="L434">
        <v>6</v>
      </c>
      <c r="M434" s="1">
        <v>129357</v>
      </c>
    </row>
    <row r="435" spans="1:13" x14ac:dyDescent="0.3">
      <c r="A435" s="1" t="s">
        <v>492</v>
      </c>
      <c r="B435" s="2">
        <v>45286</v>
      </c>
      <c r="C435" s="1" t="s">
        <v>38</v>
      </c>
      <c r="D435" s="1" t="s">
        <v>39</v>
      </c>
      <c r="E435" s="1" t="s">
        <v>12</v>
      </c>
      <c r="F435" s="1" t="s">
        <v>13</v>
      </c>
      <c r="G435" s="1" t="s">
        <v>14</v>
      </c>
      <c r="H435">
        <v>24230</v>
      </c>
      <c r="I435">
        <v>5</v>
      </c>
      <c r="J435">
        <v>2023</v>
      </c>
      <c r="K435" s="1" t="s">
        <v>869</v>
      </c>
      <c r="L435">
        <v>12</v>
      </c>
      <c r="M435" s="1">
        <v>121150</v>
      </c>
    </row>
    <row r="436" spans="1:13" x14ac:dyDescent="0.3">
      <c r="A436" s="1" t="s">
        <v>493</v>
      </c>
      <c r="B436" s="2">
        <v>45164</v>
      </c>
      <c r="C436" s="1" t="s">
        <v>47</v>
      </c>
      <c r="D436" s="1" t="s">
        <v>48</v>
      </c>
      <c r="E436" s="1" t="s">
        <v>29</v>
      </c>
      <c r="F436" s="1" t="s">
        <v>25</v>
      </c>
      <c r="G436" s="1" t="s">
        <v>40</v>
      </c>
      <c r="H436">
        <v>4092</v>
      </c>
      <c r="I436">
        <v>4</v>
      </c>
      <c r="J436">
        <v>2023</v>
      </c>
      <c r="K436" s="1" t="s">
        <v>874</v>
      </c>
      <c r="L436">
        <v>8</v>
      </c>
      <c r="M436" s="1">
        <v>16368</v>
      </c>
    </row>
    <row r="437" spans="1:13" x14ac:dyDescent="0.3">
      <c r="A437" s="1" t="s">
        <v>494</v>
      </c>
      <c r="B437" s="2">
        <v>45174</v>
      </c>
      <c r="C437" s="1" t="s">
        <v>38</v>
      </c>
      <c r="D437" s="1" t="s">
        <v>39</v>
      </c>
      <c r="E437" s="1" t="s">
        <v>29</v>
      </c>
      <c r="F437" s="1" t="s">
        <v>13</v>
      </c>
      <c r="G437" s="1" t="s">
        <v>40</v>
      </c>
      <c r="H437">
        <v>26040</v>
      </c>
      <c r="I437">
        <v>6</v>
      </c>
      <c r="J437">
        <v>2023</v>
      </c>
      <c r="K437" s="1" t="s">
        <v>866</v>
      </c>
      <c r="L437">
        <v>9</v>
      </c>
      <c r="M437" s="1">
        <v>156240</v>
      </c>
    </row>
    <row r="438" spans="1:13" x14ac:dyDescent="0.3">
      <c r="A438" s="1" t="s">
        <v>495</v>
      </c>
      <c r="B438" s="2">
        <v>45239</v>
      </c>
      <c r="C438" s="1" t="s">
        <v>109</v>
      </c>
      <c r="D438" s="1" t="s">
        <v>110</v>
      </c>
      <c r="E438" s="1" t="s">
        <v>36</v>
      </c>
      <c r="F438" s="1" t="s">
        <v>22</v>
      </c>
      <c r="G438" s="1" t="s">
        <v>23</v>
      </c>
      <c r="H438">
        <v>37656</v>
      </c>
      <c r="I438">
        <v>9</v>
      </c>
      <c r="J438">
        <v>2023</v>
      </c>
      <c r="K438" s="1" t="s">
        <v>873</v>
      </c>
      <c r="L438">
        <v>11</v>
      </c>
      <c r="M438" s="1">
        <v>338904</v>
      </c>
    </row>
    <row r="439" spans="1:13" x14ac:dyDescent="0.3">
      <c r="A439" s="1" t="s">
        <v>496</v>
      </c>
      <c r="B439" s="2">
        <v>45102</v>
      </c>
      <c r="C439" s="1" t="s">
        <v>89</v>
      </c>
      <c r="D439" s="1" t="s">
        <v>90</v>
      </c>
      <c r="E439" s="1" t="s">
        <v>12</v>
      </c>
      <c r="F439" s="1" t="s">
        <v>22</v>
      </c>
      <c r="G439" s="1" t="s">
        <v>40</v>
      </c>
      <c r="H439">
        <v>3183</v>
      </c>
      <c r="I439">
        <v>3</v>
      </c>
      <c r="J439">
        <v>2023</v>
      </c>
      <c r="K439" s="1" t="s">
        <v>863</v>
      </c>
      <c r="L439">
        <v>6</v>
      </c>
      <c r="M439" s="1">
        <v>9549</v>
      </c>
    </row>
    <row r="440" spans="1:13" x14ac:dyDescent="0.3">
      <c r="A440" s="1" t="s">
        <v>497</v>
      </c>
      <c r="B440" s="2">
        <v>45030</v>
      </c>
      <c r="C440" s="1" t="s">
        <v>50</v>
      </c>
      <c r="D440" s="1" t="s">
        <v>51</v>
      </c>
      <c r="E440" s="1" t="s">
        <v>36</v>
      </c>
      <c r="F440" s="1" t="s">
        <v>22</v>
      </c>
      <c r="G440" s="1" t="s">
        <v>14</v>
      </c>
      <c r="H440">
        <v>11748</v>
      </c>
      <c r="I440">
        <v>4</v>
      </c>
      <c r="J440">
        <v>2023</v>
      </c>
      <c r="K440" s="1" t="s">
        <v>867</v>
      </c>
      <c r="L440">
        <v>4</v>
      </c>
      <c r="M440" s="1">
        <v>46992</v>
      </c>
    </row>
    <row r="441" spans="1:13" x14ac:dyDescent="0.3">
      <c r="A441" s="1" t="s">
        <v>498</v>
      </c>
      <c r="B441" s="2">
        <v>45183</v>
      </c>
      <c r="C441" s="1" t="s">
        <v>47</v>
      </c>
      <c r="D441" s="1" t="s">
        <v>48</v>
      </c>
      <c r="E441" s="1" t="s">
        <v>12</v>
      </c>
      <c r="F441" s="1" t="s">
        <v>22</v>
      </c>
      <c r="G441" s="1" t="s">
        <v>23</v>
      </c>
      <c r="H441">
        <v>8164</v>
      </c>
      <c r="I441">
        <v>4</v>
      </c>
      <c r="J441">
        <v>2023</v>
      </c>
      <c r="K441" s="1" t="s">
        <v>866</v>
      </c>
      <c r="L441">
        <v>9</v>
      </c>
      <c r="M441" s="1">
        <v>32656</v>
      </c>
    </row>
    <row r="442" spans="1:13" x14ac:dyDescent="0.3">
      <c r="A442" s="1" t="s">
        <v>499</v>
      </c>
      <c r="B442" s="2">
        <v>45222</v>
      </c>
      <c r="C442" s="1" t="s">
        <v>67</v>
      </c>
      <c r="D442" s="1" t="s">
        <v>68</v>
      </c>
      <c r="E442" s="1" t="s">
        <v>36</v>
      </c>
      <c r="F442" s="1" t="s">
        <v>25</v>
      </c>
      <c r="G442" s="1" t="s">
        <v>40</v>
      </c>
      <c r="H442">
        <v>17717</v>
      </c>
      <c r="I442">
        <v>7</v>
      </c>
      <c r="J442">
        <v>2023</v>
      </c>
      <c r="K442" s="1" t="s">
        <v>865</v>
      </c>
      <c r="L442">
        <v>10</v>
      </c>
      <c r="M442" s="1">
        <v>124019</v>
      </c>
    </row>
    <row r="443" spans="1:13" x14ac:dyDescent="0.3">
      <c r="A443" s="1" t="s">
        <v>500</v>
      </c>
      <c r="B443" s="2">
        <v>44973</v>
      </c>
      <c r="C443" s="1" t="s">
        <v>38</v>
      </c>
      <c r="D443" s="1" t="s">
        <v>39</v>
      </c>
      <c r="E443" s="1" t="s">
        <v>12</v>
      </c>
      <c r="F443" s="1" t="s">
        <v>22</v>
      </c>
      <c r="G443" s="1" t="s">
        <v>40</v>
      </c>
      <c r="H443">
        <v>5194</v>
      </c>
      <c r="I443">
        <v>2</v>
      </c>
      <c r="J443">
        <v>2023</v>
      </c>
      <c r="K443" s="1" t="s">
        <v>871</v>
      </c>
      <c r="L443">
        <v>2</v>
      </c>
      <c r="M443" s="1">
        <v>10388</v>
      </c>
    </row>
    <row r="444" spans="1:13" x14ac:dyDescent="0.3">
      <c r="A444" s="1" t="s">
        <v>501</v>
      </c>
      <c r="B444" s="2">
        <v>45178</v>
      </c>
      <c r="C444" s="1" t="s">
        <v>20</v>
      </c>
      <c r="D444" s="1" t="s">
        <v>21</v>
      </c>
      <c r="E444" s="1" t="s">
        <v>29</v>
      </c>
      <c r="F444" s="1" t="s">
        <v>18</v>
      </c>
      <c r="G444" s="1" t="s">
        <v>40</v>
      </c>
      <c r="H444">
        <v>3980</v>
      </c>
      <c r="I444">
        <v>1</v>
      </c>
      <c r="J444">
        <v>2023</v>
      </c>
      <c r="K444" s="1" t="s">
        <v>866</v>
      </c>
      <c r="L444">
        <v>9</v>
      </c>
      <c r="M444" s="1">
        <v>3980</v>
      </c>
    </row>
    <row r="445" spans="1:13" x14ac:dyDescent="0.3">
      <c r="A445" s="1" t="s">
        <v>502</v>
      </c>
      <c r="B445" s="2">
        <v>45071</v>
      </c>
      <c r="C445" s="1" t="s">
        <v>38</v>
      </c>
      <c r="D445" s="1" t="s">
        <v>39</v>
      </c>
      <c r="E445" s="1" t="s">
        <v>29</v>
      </c>
      <c r="F445" s="1" t="s">
        <v>13</v>
      </c>
      <c r="G445" s="1" t="s">
        <v>40</v>
      </c>
      <c r="H445">
        <v>11355</v>
      </c>
      <c r="I445">
        <v>5</v>
      </c>
      <c r="J445">
        <v>2023</v>
      </c>
      <c r="K445" s="1" t="s">
        <v>872</v>
      </c>
      <c r="L445">
        <v>5</v>
      </c>
      <c r="M445" s="1">
        <v>56775</v>
      </c>
    </row>
    <row r="446" spans="1:13" x14ac:dyDescent="0.3">
      <c r="A446" s="1" t="s">
        <v>503</v>
      </c>
      <c r="B446" s="2">
        <v>45073</v>
      </c>
      <c r="C446" s="1" t="s">
        <v>27</v>
      </c>
      <c r="D446" s="1" t="s">
        <v>28</v>
      </c>
      <c r="E446" s="1" t="s">
        <v>36</v>
      </c>
      <c r="F446" s="1" t="s">
        <v>13</v>
      </c>
      <c r="G446" s="1" t="s">
        <v>23</v>
      </c>
      <c r="H446">
        <v>43170</v>
      </c>
      <c r="I446">
        <v>10</v>
      </c>
      <c r="J446">
        <v>2023</v>
      </c>
      <c r="K446" s="1" t="s">
        <v>872</v>
      </c>
      <c r="L446">
        <v>5</v>
      </c>
      <c r="M446" s="1">
        <v>431700</v>
      </c>
    </row>
    <row r="447" spans="1:13" x14ac:dyDescent="0.3">
      <c r="A447" s="1" t="s">
        <v>504</v>
      </c>
      <c r="B447" s="2">
        <v>45022</v>
      </c>
      <c r="C447" s="1" t="s">
        <v>109</v>
      </c>
      <c r="D447" s="1" t="s">
        <v>110</v>
      </c>
      <c r="E447" s="1" t="s">
        <v>36</v>
      </c>
      <c r="F447" s="1" t="s">
        <v>22</v>
      </c>
      <c r="G447" s="1" t="s">
        <v>23</v>
      </c>
      <c r="H447">
        <v>12624</v>
      </c>
      <c r="I447">
        <v>6</v>
      </c>
      <c r="J447">
        <v>2023</v>
      </c>
      <c r="K447" s="1" t="s">
        <v>867</v>
      </c>
      <c r="L447">
        <v>4</v>
      </c>
      <c r="M447" s="1">
        <v>75744</v>
      </c>
    </row>
    <row r="448" spans="1:13" x14ac:dyDescent="0.3">
      <c r="A448" s="1" t="s">
        <v>505</v>
      </c>
      <c r="B448" s="2">
        <v>44993</v>
      </c>
      <c r="C448" s="1" t="s">
        <v>67</v>
      </c>
      <c r="D448" s="1" t="s">
        <v>68</v>
      </c>
      <c r="E448" s="1" t="s">
        <v>29</v>
      </c>
      <c r="F448" s="1" t="s">
        <v>25</v>
      </c>
      <c r="G448" s="1" t="s">
        <v>40</v>
      </c>
      <c r="H448">
        <v>6384</v>
      </c>
      <c r="I448">
        <v>3</v>
      </c>
      <c r="J448">
        <v>2023</v>
      </c>
      <c r="K448" s="1" t="s">
        <v>870</v>
      </c>
      <c r="L448">
        <v>3</v>
      </c>
      <c r="M448" s="1">
        <v>19152</v>
      </c>
    </row>
    <row r="449" spans="1:13" x14ac:dyDescent="0.3">
      <c r="A449" s="1" t="s">
        <v>506</v>
      </c>
      <c r="B449" s="2">
        <v>45146</v>
      </c>
      <c r="C449" s="1" t="s">
        <v>61</v>
      </c>
      <c r="D449" s="1" t="s">
        <v>62</v>
      </c>
      <c r="E449" s="1" t="s">
        <v>29</v>
      </c>
      <c r="F449" s="1" t="s">
        <v>13</v>
      </c>
      <c r="G449" s="1" t="s">
        <v>23</v>
      </c>
      <c r="H449">
        <v>23947</v>
      </c>
      <c r="I449">
        <v>7</v>
      </c>
      <c r="J449">
        <v>2023</v>
      </c>
      <c r="K449" s="1" t="s">
        <v>874</v>
      </c>
      <c r="L449">
        <v>8</v>
      </c>
      <c r="M449" s="1">
        <v>167629</v>
      </c>
    </row>
    <row r="450" spans="1:13" x14ac:dyDescent="0.3">
      <c r="A450" s="1" t="s">
        <v>507</v>
      </c>
      <c r="B450" s="2">
        <v>45164</v>
      </c>
      <c r="C450" s="1" t="s">
        <v>53</v>
      </c>
      <c r="D450" s="1" t="s">
        <v>54</v>
      </c>
      <c r="E450" s="1" t="s">
        <v>29</v>
      </c>
      <c r="F450" s="1" t="s">
        <v>13</v>
      </c>
      <c r="G450" s="1" t="s">
        <v>40</v>
      </c>
      <c r="H450">
        <v>20106</v>
      </c>
      <c r="I450">
        <v>6</v>
      </c>
      <c r="J450">
        <v>2023</v>
      </c>
      <c r="K450" s="1" t="s">
        <v>874</v>
      </c>
      <c r="L450">
        <v>8</v>
      </c>
      <c r="M450" s="1">
        <v>120636</v>
      </c>
    </row>
    <row r="451" spans="1:13" x14ac:dyDescent="0.3">
      <c r="A451" s="1" t="s">
        <v>508</v>
      </c>
      <c r="B451" s="2">
        <v>45191</v>
      </c>
      <c r="C451" s="1" t="s">
        <v>27</v>
      </c>
      <c r="D451" s="1" t="s">
        <v>28</v>
      </c>
      <c r="E451" s="1" t="s">
        <v>36</v>
      </c>
      <c r="F451" s="1" t="s">
        <v>13</v>
      </c>
      <c r="G451" s="1" t="s">
        <v>40</v>
      </c>
      <c r="H451">
        <v>12180</v>
      </c>
      <c r="I451">
        <v>10</v>
      </c>
      <c r="J451">
        <v>2023</v>
      </c>
      <c r="K451" s="1" t="s">
        <v>866</v>
      </c>
      <c r="L451">
        <v>9</v>
      </c>
      <c r="M451" s="1">
        <v>121800</v>
      </c>
    </row>
    <row r="452" spans="1:13" x14ac:dyDescent="0.3">
      <c r="A452" s="1" t="s">
        <v>509</v>
      </c>
      <c r="B452" s="2">
        <v>45063</v>
      </c>
      <c r="C452" s="1" t="s">
        <v>123</v>
      </c>
      <c r="D452" s="1" t="s">
        <v>124</v>
      </c>
      <c r="E452" s="1" t="s">
        <v>29</v>
      </c>
      <c r="F452" s="1" t="s">
        <v>25</v>
      </c>
      <c r="G452" s="1" t="s">
        <v>40</v>
      </c>
      <c r="H452">
        <v>8854</v>
      </c>
      <c r="I452">
        <v>2</v>
      </c>
      <c r="J452">
        <v>2023</v>
      </c>
      <c r="K452" s="1" t="s">
        <v>872</v>
      </c>
      <c r="L452">
        <v>5</v>
      </c>
      <c r="M452" s="1">
        <v>17708</v>
      </c>
    </row>
    <row r="453" spans="1:13" x14ac:dyDescent="0.3">
      <c r="A453" s="1" t="s">
        <v>510</v>
      </c>
      <c r="B453" s="2">
        <v>45076</v>
      </c>
      <c r="C453" s="1" t="s">
        <v>53</v>
      </c>
      <c r="D453" s="1" t="s">
        <v>54</v>
      </c>
      <c r="E453" s="1" t="s">
        <v>29</v>
      </c>
      <c r="F453" s="1" t="s">
        <v>25</v>
      </c>
      <c r="G453" s="1" t="s">
        <v>40</v>
      </c>
      <c r="H453">
        <v>5852</v>
      </c>
      <c r="I453">
        <v>4</v>
      </c>
      <c r="J453">
        <v>2023</v>
      </c>
      <c r="K453" s="1" t="s">
        <v>872</v>
      </c>
      <c r="L453">
        <v>5</v>
      </c>
      <c r="M453" s="1">
        <v>23408</v>
      </c>
    </row>
    <row r="454" spans="1:13" x14ac:dyDescent="0.3">
      <c r="A454" s="1" t="s">
        <v>511</v>
      </c>
      <c r="B454" s="2">
        <v>45080</v>
      </c>
      <c r="C454" s="1" t="s">
        <v>43</v>
      </c>
      <c r="D454" s="1" t="s">
        <v>44</v>
      </c>
      <c r="E454" s="1" t="s">
        <v>36</v>
      </c>
      <c r="F454" s="1" t="s">
        <v>13</v>
      </c>
      <c r="G454" s="1" t="s">
        <v>14</v>
      </c>
      <c r="H454">
        <v>8004</v>
      </c>
      <c r="I454">
        <v>2</v>
      </c>
      <c r="J454">
        <v>2023</v>
      </c>
      <c r="K454" s="1" t="s">
        <v>863</v>
      </c>
      <c r="L454">
        <v>6</v>
      </c>
      <c r="M454" s="1">
        <v>16008</v>
      </c>
    </row>
    <row r="455" spans="1:13" x14ac:dyDescent="0.3">
      <c r="A455" s="1" t="s">
        <v>512</v>
      </c>
      <c r="B455" s="2">
        <v>45291</v>
      </c>
      <c r="C455" s="1" t="s">
        <v>123</v>
      </c>
      <c r="D455" s="1" t="s">
        <v>124</v>
      </c>
      <c r="E455" s="1" t="s">
        <v>12</v>
      </c>
      <c r="F455" s="1" t="s">
        <v>22</v>
      </c>
      <c r="G455" s="1" t="s">
        <v>40</v>
      </c>
      <c r="H455">
        <v>8374</v>
      </c>
      <c r="I455">
        <v>2</v>
      </c>
      <c r="J455">
        <v>2023</v>
      </c>
      <c r="K455" s="1" t="s">
        <v>869</v>
      </c>
      <c r="L455">
        <v>12</v>
      </c>
      <c r="M455" s="1">
        <v>16748</v>
      </c>
    </row>
    <row r="456" spans="1:13" x14ac:dyDescent="0.3">
      <c r="A456" s="1" t="s">
        <v>513</v>
      </c>
      <c r="B456" s="2">
        <v>45026</v>
      </c>
      <c r="C456" s="1" t="s">
        <v>50</v>
      </c>
      <c r="D456" s="1" t="s">
        <v>51</v>
      </c>
      <c r="E456" s="1" t="s">
        <v>12</v>
      </c>
      <c r="F456" s="1" t="s">
        <v>18</v>
      </c>
      <c r="G456" s="1" t="s">
        <v>14</v>
      </c>
      <c r="H456">
        <v>10845</v>
      </c>
      <c r="I456">
        <v>5</v>
      </c>
      <c r="J456">
        <v>2023</v>
      </c>
      <c r="K456" s="1" t="s">
        <v>867</v>
      </c>
      <c r="L456">
        <v>4</v>
      </c>
      <c r="M456" s="1">
        <v>54225</v>
      </c>
    </row>
    <row r="457" spans="1:13" x14ac:dyDescent="0.3">
      <c r="A457" s="1" t="s">
        <v>514</v>
      </c>
      <c r="B457" s="2">
        <v>45270</v>
      </c>
      <c r="C457" s="1" t="s">
        <v>53</v>
      </c>
      <c r="D457" s="1" t="s">
        <v>54</v>
      </c>
      <c r="E457" s="1" t="s">
        <v>29</v>
      </c>
      <c r="F457" s="1" t="s">
        <v>18</v>
      </c>
      <c r="G457" s="1" t="s">
        <v>14</v>
      </c>
      <c r="H457">
        <v>5070</v>
      </c>
      <c r="I457">
        <v>3</v>
      </c>
      <c r="J457">
        <v>2023</v>
      </c>
      <c r="K457" s="1" t="s">
        <v>869</v>
      </c>
      <c r="L457">
        <v>12</v>
      </c>
      <c r="M457" s="1">
        <v>15210</v>
      </c>
    </row>
    <row r="458" spans="1:13" x14ac:dyDescent="0.3">
      <c r="A458" s="1" t="s">
        <v>515</v>
      </c>
      <c r="B458" s="2">
        <v>45046</v>
      </c>
      <c r="C458" s="1" t="s">
        <v>31</v>
      </c>
      <c r="D458" s="1" t="s">
        <v>32</v>
      </c>
      <c r="E458" s="1" t="s">
        <v>12</v>
      </c>
      <c r="F458" s="1" t="s">
        <v>25</v>
      </c>
      <c r="G458" s="1" t="s">
        <v>40</v>
      </c>
      <c r="H458">
        <v>23574</v>
      </c>
      <c r="I458">
        <v>6</v>
      </c>
      <c r="J458">
        <v>2023</v>
      </c>
      <c r="K458" s="1" t="s">
        <v>867</v>
      </c>
      <c r="L458">
        <v>4</v>
      </c>
      <c r="M458" s="1">
        <v>141444</v>
      </c>
    </row>
    <row r="459" spans="1:13" x14ac:dyDescent="0.3">
      <c r="A459" s="1" t="s">
        <v>516</v>
      </c>
      <c r="B459" s="2">
        <v>44999</v>
      </c>
      <c r="C459" s="1" t="s">
        <v>73</v>
      </c>
      <c r="D459" s="1" t="s">
        <v>74</v>
      </c>
      <c r="E459" s="1" t="s">
        <v>12</v>
      </c>
      <c r="F459" s="1" t="s">
        <v>22</v>
      </c>
      <c r="G459" s="1" t="s">
        <v>23</v>
      </c>
      <c r="H459">
        <v>8785</v>
      </c>
      <c r="I459">
        <v>5</v>
      </c>
      <c r="J459">
        <v>2023</v>
      </c>
      <c r="K459" s="1" t="s">
        <v>870</v>
      </c>
      <c r="L459">
        <v>3</v>
      </c>
      <c r="M459" s="1">
        <v>43925</v>
      </c>
    </row>
    <row r="460" spans="1:13" x14ac:dyDescent="0.3">
      <c r="A460" s="1" t="s">
        <v>517</v>
      </c>
      <c r="B460" s="2">
        <v>45270</v>
      </c>
      <c r="C460" s="1" t="s">
        <v>27</v>
      </c>
      <c r="D460" s="1" t="s">
        <v>28</v>
      </c>
      <c r="E460" s="1" t="s">
        <v>29</v>
      </c>
      <c r="F460" s="1" t="s">
        <v>25</v>
      </c>
      <c r="G460" s="1" t="s">
        <v>14</v>
      </c>
      <c r="H460">
        <v>5772</v>
      </c>
      <c r="I460">
        <v>3</v>
      </c>
      <c r="J460">
        <v>2023</v>
      </c>
      <c r="K460" s="1" t="s">
        <v>869</v>
      </c>
      <c r="L460">
        <v>12</v>
      </c>
      <c r="M460" s="1">
        <v>17316</v>
      </c>
    </row>
    <row r="461" spans="1:13" x14ac:dyDescent="0.3">
      <c r="A461" s="1" t="s">
        <v>518</v>
      </c>
      <c r="B461" s="2">
        <v>45120</v>
      </c>
      <c r="C461" s="1" t="s">
        <v>64</v>
      </c>
      <c r="D461" s="1" t="s">
        <v>65</v>
      </c>
      <c r="E461" s="1" t="s">
        <v>36</v>
      </c>
      <c r="F461" s="1" t="s">
        <v>25</v>
      </c>
      <c r="G461" s="1" t="s">
        <v>14</v>
      </c>
      <c r="H461">
        <v>19495</v>
      </c>
      <c r="I461">
        <v>5</v>
      </c>
      <c r="J461">
        <v>2023</v>
      </c>
      <c r="K461" s="1" t="s">
        <v>864</v>
      </c>
      <c r="L461">
        <v>7</v>
      </c>
      <c r="M461" s="1">
        <v>97475</v>
      </c>
    </row>
    <row r="462" spans="1:13" x14ac:dyDescent="0.3">
      <c r="A462" s="1" t="s">
        <v>519</v>
      </c>
      <c r="B462" s="2">
        <v>45040</v>
      </c>
      <c r="C462" s="1" t="s">
        <v>38</v>
      </c>
      <c r="D462" s="1" t="s">
        <v>39</v>
      </c>
      <c r="E462" s="1" t="s">
        <v>29</v>
      </c>
      <c r="F462" s="1" t="s">
        <v>18</v>
      </c>
      <c r="G462" s="1" t="s">
        <v>40</v>
      </c>
      <c r="H462">
        <v>21480</v>
      </c>
      <c r="I462">
        <v>10</v>
      </c>
      <c r="J462">
        <v>2023</v>
      </c>
      <c r="K462" s="1" t="s">
        <v>867</v>
      </c>
      <c r="L462">
        <v>4</v>
      </c>
      <c r="M462" s="1">
        <v>214800</v>
      </c>
    </row>
    <row r="463" spans="1:13" x14ac:dyDescent="0.3">
      <c r="A463" s="1" t="s">
        <v>520</v>
      </c>
      <c r="B463" s="2">
        <v>45247</v>
      </c>
      <c r="C463" s="1" t="s">
        <v>89</v>
      </c>
      <c r="D463" s="1" t="s">
        <v>90</v>
      </c>
      <c r="E463" s="1" t="s">
        <v>12</v>
      </c>
      <c r="F463" s="1" t="s">
        <v>13</v>
      </c>
      <c r="G463" s="1" t="s">
        <v>40</v>
      </c>
      <c r="H463">
        <v>28216</v>
      </c>
      <c r="I463">
        <v>8</v>
      </c>
      <c r="J463">
        <v>2023</v>
      </c>
      <c r="K463" s="1" t="s">
        <v>873</v>
      </c>
      <c r="L463">
        <v>11</v>
      </c>
      <c r="M463" s="1">
        <v>225728</v>
      </c>
    </row>
    <row r="464" spans="1:13" x14ac:dyDescent="0.3">
      <c r="A464" s="1" t="s">
        <v>521</v>
      </c>
      <c r="B464" s="2">
        <v>45050</v>
      </c>
      <c r="C464" s="1" t="s">
        <v>31</v>
      </c>
      <c r="D464" s="1" t="s">
        <v>32</v>
      </c>
      <c r="E464" s="1" t="s">
        <v>36</v>
      </c>
      <c r="F464" s="1" t="s">
        <v>22</v>
      </c>
      <c r="G464" s="1" t="s">
        <v>14</v>
      </c>
      <c r="H464">
        <v>18340</v>
      </c>
      <c r="I464">
        <v>4</v>
      </c>
      <c r="J464">
        <v>2023</v>
      </c>
      <c r="K464" s="1" t="s">
        <v>872</v>
      </c>
      <c r="L464">
        <v>5</v>
      </c>
      <c r="M464" s="1">
        <v>73360</v>
      </c>
    </row>
    <row r="465" spans="1:13" x14ac:dyDescent="0.3">
      <c r="A465" s="1" t="s">
        <v>522</v>
      </c>
      <c r="B465" s="2">
        <v>45168</v>
      </c>
      <c r="C465" s="1" t="s">
        <v>47</v>
      </c>
      <c r="D465" s="1" t="s">
        <v>48</v>
      </c>
      <c r="E465" s="1" t="s">
        <v>29</v>
      </c>
      <c r="F465" s="1" t="s">
        <v>22</v>
      </c>
      <c r="G465" s="1" t="s">
        <v>23</v>
      </c>
      <c r="H465">
        <v>2625</v>
      </c>
      <c r="I465">
        <v>1</v>
      </c>
      <c r="J465">
        <v>2023</v>
      </c>
      <c r="K465" s="1" t="s">
        <v>874</v>
      </c>
      <c r="L465">
        <v>8</v>
      </c>
      <c r="M465" s="1">
        <v>2625</v>
      </c>
    </row>
    <row r="466" spans="1:13" x14ac:dyDescent="0.3">
      <c r="A466" s="1" t="s">
        <v>523</v>
      </c>
      <c r="B466" s="2">
        <v>45244</v>
      </c>
      <c r="C466" s="1" t="s">
        <v>27</v>
      </c>
      <c r="D466" s="1" t="s">
        <v>28</v>
      </c>
      <c r="E466" s="1" t="s">
        <v>36</v>
      </c>
      <c r="F466" s="1" t="s">
        <v>22</v>
      </c>
      <c r="G466" s="1" t="s">
        <v>40</v>
      </c>
      <c r="H466">
        <v>6525</v>
      </c>
      <c r="I466">
        <v>5</v>
      </c>
      <c r="J466">
        <v>2023</v>
      </c>
      <c r="K466" s="1" t="s">
        <v>873</v>
      </c>
      <c r="L466">
        <v>11</v>
      </c>
      <c r="M466" s="1">
        <v>32625</v>
      </c>
    </row>
    <row r="467" spans="1:13" x14ac:dyDescent="0.3">
      <c r="A467" s="1" t="s">
        <v>524</v>
      </c>
      <c r="B467" s="2">
        <v>45073</v>
      </c>
      <c r="C467" s="1" t="s">
        <v>89</v>
      </c>
      <c r="D467" s="1" t="s">
        <v>90</v>
      </c>
      <c r="E467" s="1" t="s">
        <v>29</v>
      </c>
      <c r="F467" s="1" t="s">
        <v>22</v>
      </c>
      <c r="G467" s="1" t="s">
        <v>14</v>
      </c>
      <c r="H467">
        <v>8904</v>
      </c>
      <c r="I467">
        <v>7</v>
      </c>
      <c r="J467">
        <v>2023</v>
      </c>
      <c r="K467" s="1" t="s">
        <v>872</v>
      </c>
      <c r="L467">
        <v>5</v>
      </c>
      <c r="M467" s="1">
        <v>62328</v>
      </c>
    </row>
    <row r="468" spans="1:13" x14ac:dyDescent="0.3">
      <c r="A468" s="1" t="s">
        <v>525</v>
      </c>
      <c r="B468" s="2">
        <v>45265</v>
      </c>
      <c r="C468" s="1" t="s">
        <v>53</v>
      </c>
      <c r="D468" s="1" t="s">
        <v>54</v>
      </c>
      <c r="E468" s="1" t="s">
        <v>12</v>
      </c>
      <c r="F468" s="1" t="s">
        <v>18</v>
      </c>
      <c r="G468" s="1" t="s">
        <v>14</v>
      </c>
      <c r="H468">
        <v>5190</v>
      </c>
      <c r="I468">
        <v>3</v>
      </c>
      <c r="J468">
        <v>2023</v>
      </c>
      <c r="K468" s="1" t="s">
        <v>869</v>
      </c>
      <c r="L468">
        <v>12</v>
      </c>
      <c r="M468" s="1">
        <v>15570</v>
      </c>
    </row>
    <row r="469" spans="1:13" x14ac:dyDescent="0.3">
      <c r="A469" s="1" t="s">
        <v>526</v>
      </c>
      <c r="B469" s="2">
        <v>45037</v>
      </c>
      <c r="C469" s="1" t="s">
        <v>67</v>
      </c>
      <c r="D469" s="1" t="s">
        <v>68</v>
      </c>
      <c r="E469" s="1" t="s">
        <v>29</v>
      </c>
      <c r="F469" s="1" t="s">
        <v>22</v>
      </c>
      <c r="G469" s="1" t="s">
        <v>40</v>
      </c>
      <c r="H469">
        <v>31230</v>
      </c>
      <c r="I469">
        <v>10</v>
      </c>
      <c r="J469">
        <v>2023</v>
      </c>
      <c r="K469" s="1" t="s">
        <v>867</v>
      </c>
      <c r="L469">
        <v>4</v>
      </c>
      <c r="M469" s="1">
        <v>312300</v>
      </c>
    </row>
    <row r="470" spans="1:13" x14ac:dyDescent="0.3">
      <c r="A470" s="1" t="s">
        <v>527</v>
      </c>
      <c r="B470" s="2">
        <v>45122</v>
      </c>
      <c r="C470" s="1" t="s">
        <v>27</v>
      </c>
      <c r="D470" s="1" t="s">
        <v>28</v>
      </c>
      <c r="E470" s="1" t="s">
        <v>36</v>
      </c>
      <c r="F470" s="1" t="s">
        <v>18</v>
      </c>
      <c r="G470" s="1" t="s">
        <v>40</v>
      </c>
      <c r="H470">
        <v>2922</v>
      </c>
      <c r="I470">
        <v>2</v>
      </c>
      <c r="J470">
        <v>2023</v>
      </c>
      <c r="K470" s="1" t="s">
        <v>864</v>
      </c>
      <c r="L470">
        <v>7</v>
      </c>
      <c r="M470" s="1">
        <v>5844</v>
      </c>
    </row>
    <row r="471" spans="1:13" x14ac:dyDescent="0.3">
      <c r="A471" s="1" t="s">
        <v>528</v>
      </c>
      <c r="B471" s="2">
        <v>45277</v>
      </c>
      <c r="C471" s="1" t="s">
        <v>31</v>
      </c>
      <c r="D471" s="1" t="s">
        <v>32</v>
      </c>
      <c r="E471" s="1" t="s">
        <v>12</v>
      </c>
      <c r="F471" s="1" t="s">
        <v>18</v>
      </c>
      <c r="G471" s="1" t="s">
        <v>40</v>
      </c>
      <c r="H471">
        <v>13940</v>
      </c>
      <c r="I471">
        <v>5</v>
      </c>
      <c r="J471">
        <v>2023</v>
      </c>
      <c r="K471" s="1" t="s">
        <v>869</v>
      </c>
      <c r="L471">
        <v>12</v>
      </c>
      <c r="M471" s="1">
        <v>69700</v>
      </c>
    </row>
    <row r="472" spans="1:13" x14ac:dyDescent="0.3">
      <c r="A472" s="1" t="s">
        <v>529</v>
      </c>
      <c r="B472" s="2">
        <v>45046</v>
      </c>
      <c r="C472" s="1" t="s">
        <v>77</v>
      </c>
      <c r="D472" s="1" t="s">
        <v>78</v>
      </c>
      <c r="E472" s="1" t="s">
        <v>36</v>
      </c>
      <c r="F472" s="1" t="s">
        <v>13</v>
      </c>
      <c r="G472" s="1" t="s">
        <v>40</v>
      </c>
      <c r="H472">
        <v>1584</v>
      </c>
      <c r="I472">
        <v>1</v>
      </c>
      <c r="J472">
        <v>2023</v>
      </c>
      <c r="K472" s="1" t="s">
        <v>867</v>
      </c>
      <c r="L472">
        <v>4</v>
      </c>
      <c r="M472" s="1">
        <v>1584</v>
      </c>
    </row>
    <row r="473" spans="1:13" x14ac:dyDescent="0.3">
      <c r="A473" s="1" t="s">
        <v>530</v>
      </c>
      <c r="B473" s="2">
        <v>45283</v>
      </c>
      <c r="C473" s="1" t="s">
        <v>20</v>
      </c>
      <c r="D473" s="1" t="s">
        <v>21</v>
      </c>
      <c r="E473" s="1" t="s">
        <v>36</v>
      </c>
      <c r="F473" s="1" t="s">
        <v>18</v>
      </c>
      <c r="G473" s="1" t="s">
        <v>23</v>
      </c>
      <c r="H473">
        <v>7896</v>
      </c>
      <c r="I473">
        <v>7</v>
      </c>
      <c r="J473">
        <v>2023</v>
      </c>
      <c r="K473" s="1" t="s">
        <v>869</v>
      </c>
      <c r="L473">
        <v>12</v>
      </c>
      <c r="M473" s="1">
        <v>55272</v>
      </c>
    </row>
    <row r="474" spans="1:13" x14ac:dyDescent="0.3">
      <c r="A474" s="1" t="s">
        <v>531</v>
      </c>
      <c r="B474" s="2">
        <v>44939</v>
      </c>
      <c r="C474" s="1" t="s">
        <v>109</v>
      </c>
      <c r="D474" s="1" t="s">
        <v>110</v>
      </c>
      <c r="E474" s="1" t="s">
        <v>12</v>
      </c>
      <c r="F474" s="1" t="s">
        <v>22</v>
      </c>
      <c r="G474" s="1" t="s">
        <v>14</v>
      </c>
      <c r="H474">
        <v>19134</v>
      </c>
      <c r="I474">
        <v>9</v>
      </c>
      <c r="J474">
        <v>2023</v>
      </c>
      <c r="K474" s="1" t="s">
        <v>868</v>
      </c>
      <c r="L474">
        <v>1</v>
      </c>
      <c r="M474" s="1">
        <v>172206</v>
      </c>
    </row>
    <row r="475" spans="1:13" x14ac:dyDescent="0.3">
      <c r="A475" s="1" t="s">
        <v>532</v>
      </c>
      <c r="B475" s="2">
        <v>45068</v>
      </c>
      <c r="C475" s="1" t="s">
        <v>109</v>
      </c>
      <c r="D475" s="1" t="s">
        <v>110</v>
      </c>
      <c r="E475" s="1" t="s">
        <v>12</v>
      </c>
      <c r="F475" s="1" t="s">
        <v>25</v>
      </c>
      <c r="G475" s="1" t="s">
        <v>40</v>
      </c>
      <c r="H475">
        <v>1617</v>
      </c>
      <c r="I475">
        <v>1</v>
      </c>
      <c r="J475">
        <v>2023</v>
      </c>
      <c r="K475" s="1" t="s">
        <v>872</v>
      </c>
      <c r="L475">
        <v>5</v>
      </c>
      <c r="M475" s="1">
        <v>1617</v>
      </c>
    </row>
    <row r="476" spans="1:13" x14ac:dyDescent="0.3">
      <c r="A476" s="1" t="s">
        <v>533</v>
      </c>
      <c r="B476" s="2">
        <v>45123</v>
      </c>
      <c r="C476" s="1" t="s">
        <v>67</v>
      </c>
      <c r="D476" s="1" t="s">
        <v>68</v>
      </c>
      <c r="E476" s="1" t="s">
        <v>12</v>
      </c>
      <c r="F476" s="1" t="s">
        <v>22</v>
      </c>
      <c r="G476" s="1" t="s">
        <v>40</v>
      </c>
      <c r="H476">
        <v>9603</v>
      </c>
      <c r="I476">
        <v>9</v>
      </c>
      <c r="J476">
        <v>2023</v>
      </c>
      <c r="K476" s="1" t="s">
        <v>864</v>
      </c>
      <c r="L476">
        <v>7</v>
      </c>
      <c r="M476" s="1">
        <v>86427</v>
      </c>
    </row>
    <row r="477" spans="1:13" x14ac:dyDescent="0.3">
      <c r="A477" s="1" t="s">
        <v>534</v>
      </c>
      <c r="B477" s="2">
        <v>45230</v>
      </c>
      <c r="C477" s="1" t="s">
        <v>77</v>
      </c>
      <c r="D477" s="1" t="s">
        <v>78</v>
      </c>
      <c r="E477" s="1" t="s">
        <v>29</v>
      </c>
      <c r="F477" s="1" t="s">
        <v>13</v>
      </c>
      <c r="G477" s="1" t="s">
        <v>14</v>
      </c>
      <c r="H477">
        <v>34407</v>
      </c>
      <c r="I477">
        <v>9</v>
      </c>
      <c r="J477">
        <v>2023</v>
      </c>
      <c r="K477" s="1" t="s">
        <v>865</v>
      </c>
      <c r="L477">
        <v>10</v>
      </c>
      <c r="M477" s="1">
        <v>309663</v>
      </c>
    </row>
    <row r="478" spans="1:13" x14ac:dyDescent="0.3">
      <c r="A478" s="1" t="s">
        <v>535</v>
      </c>
      <c r="B478" s="2">
        <v>45166</v>
      </c>
      <c r="C478" s="1" t="s">
        <v>89</v>
      </c>
      <c r="D478" s="1" t="s">
        <v>90</v>
      </c>
      <c r="E478" s="1" t="s">
        <v>36</v>
      </c>
      <c r="F478" s="1" t="s">
        <v>13</v>
      </c>
      <c r="G478" s="1" t="s">
        <v>14</v>
      </c>
      <c r="H478">
        <v>7380</v>
      </c>
      <c r="I478">
        <v>5</v>
      </c>
      <c r="J478">
        <v>2023</v>
      </c>
      <c r="K478" s="1" t="s">
        <v>874</v>
      </c>
      <c r="L478">
        <v>8</v>
      </c>
      <c r="M478" s="1">
        <v>36900</v>
      </c>
    </row>
    <row r="479" spans="1:13" x14ac:dyDescent="0.3">
      <c r="A479" s="1" t="s">
        <v>536</v>
      </c>
      <c r="B479" s="2">
        <v>45218</v>
      </c>
      <c r="C479" s="1" t="s">
        <v>123</v>
      </c>
      <c r="D479" s="1" t="s">
        <v>124</v>
      </c>
      <c r="E479" s="1" t="s">
        <v>36</v>
      </c>
      <c r="F479" s="1" t="s">
        <v>13</v>
      </c>
      <c r="G479" s="1" t="s">
        <v>40</v>
      </c>
      <c r="H479">
        <v>24456</v>
      </c>
      <c r="I479">
        <v>6</v>
      </c>
      <c r="J479">
        <v>2023</v>
      </c>
      <c r="K479" s="1" t="s">
        <v>865</v>
      </c>
      <c r="L479">
        <v>10</v>
      </c>
      <c r="M479" s="1">
        <v>146736</v>
      </c>
    </row>
    <row r="480" spans="1:13" x14ac:dyDescent="0.3">
      <c r="A480" s="1" t="s">
        <v>537</v>
      </c>
      <c r="B480" s="2">
        <v>44987</v>
      </c>
      <c r="C480" s="1" t="s">
        <v>67</v>
      </c>
      <c r="D480" s="1" t="s">
        <v>68</v>
      </c>
      <c r="E480" s="1" t="s">
        <v>29</v>
      </c>
      <c r="F480" s="1" t="s">
        <v>13</v>
      </c>
      <c r="G480" s="1" t="s">
        <v>23</v>
      </c>
      <c r="H480">
        <v>4730</v>
      </c>
      <c r="I480">
        <v>5</v>
      </c>
      <c r="J480">
        <v>2023</v>
      </c>
      <c r="K480" s="1" t="s">
        <v>870</v>
      </c>
      <c r="L480">
        <v>3</v>
      </c>
      <c r="M480" s="1">
        <v>23650</v>
      </c>
    </row>
    <row r="481" spans="1:13" x14ac:dyDescent="0.3">
      <c r="A481" s="1" t="s">
        <v>538</v>
      </c>
      <c r="B481" s="2">
        <v>45202</v>
      </c>
      <c r="C481" s="1" t="s">
        <v>53</v>
      </c>
      <c r="D481" s="1" t="s">
        <v>54</v>
      </c>
      <c r="E481" s="1" t="s">
        <v>12</v>
      </c>
      <c r="F481" s="1" t="s">
        <v>25</v>
      </c>
      <c r="G481" s="1" t="s">
        <v>23</v>
      </c>
      <c r="H481">
        <v>25713</v>
      </c>
      <c r="I481">
        <v>9</v>
      </c>
      <c r="J481">
        <v>2023</v>
      </c>
      <c r="K481" s="1" t="s">
        <v>865</v>
      </c>
      <c r="L481">
        <v>10</v>
      </c>
      <c r="M481" s="1">
        <v>231417</v>
      </c>
    </row>
    <row r="482" spans="1:13" x14ac:dyDescent="0.3">
      <c r="A482" s="1" t="s">
        <v>539</v>
      </c>
      <c r="B482" s="2">
        <v>45250</v>
      </c>
      <c r="C482" s="1" t="s">
        <v>50</v>
      </c>
      <c r="D482" s="1" t="s">
        <v>51</v>
      </c>
      <c r="E482" s="1" t="s">
        <v>36</v>
      </c>
      <c r="F482" s="1" t="s">
        <v>18</v>
      </c>
      <c r="G482" s="1" t="s">
        <v>23</v>
      </c>
      <c r="H482">
        <v>16488</v>
      </c>
      <c r="I482">
        <v>4</v>
      </c>
      <c r="J482">
        <v>2023</v>
      </c>
      <c r="K482" s="1" t="s">
        <v>873</v>
      </c>
      <c r="L482">
        <v>11</v>
      </c>
      <c r="M482" s="1">
        <v>65952</v>
      </c>
    </row>
    <row r="483" spans="1:13" x14ac:dyDescent="0.3">
      <c r="A483" s="1" t="s">
        <v>540</v>
      </c>
      <c r="B483" s="2">
        <v>45047</v>
      </c>
      <c r="C483" s="1" t="s">
        <v>137</v>
      </c>
      <c r="D483" s="1" t="s">
        <v>138</v>
      </c>
      <c r="E483" s="1" t="s">
        <v>12</v>
      </c>
      <c r="F483" s="1" t="s">
        <v>13</v>
      </c>
      <c r="G483" s="1" t="s">
        <v>23</v>
      </c>
      <c r="H483">
        <v>33663</v>
      </c>
      <c r="I483">
        <v>7</v>
      </c>
      <c r="J483">
        <v>2023</v>
      </c>
      <c r="K483" s="1" t="s">
        <v>872</v>
      </c>
      <c r="L483">
        <v>5</v>
      </c>
      <c r="M483" s="1">
        <v>235641</v>
      </c>
    </row>
    <row r="484" spans="1:13" x14ac:dyDescent="0.3">
      <c r="A484" s="1" t="s">
        <v>541</v>
      </c>
      <c r="B484" s="2">
        <v>45060</v>
      </c>
      <c r="C484" s="1" t="s">
        <v>10</v>
      </c>
      <c r="D484" s="1" t="s">
        <v>11</v>
      </c>
      <c r="E484" s="1" t="s">
        <v>29</v>
      </c>
      <c r="F484" s="1" t="s">
        <v>22</v>
      </c>
      <c r="G484" s="1" t="s">
        <v>40</v>
      </c>
      <c r="H484">
        <v>22265</v>
      </c>
      <c r="I484">
        <v>5</v>
      </c>
      <c r="J484">
        <v>2023</v>
      </c>
      <c r="K484" s="1" t="s">
        <v>872</v>
      </c>
      <c r="L484">
        <v>5</v>
      </c>
      <c r="M484" s="1">
        <v>111325</v>
      </c>
    </row>
    <row r="485" spans="1:13" x14ac:dyDescent="0.3">
      <c r="A485" s="1" t="s">
        <v>542</v>
      </c>
      <c r="B485" s="2">
        <v>45235</v>
      </c>
      <c r="C485" s="1" t="s">
        <v>31</v>
      </c>
      <c r="D485" s="1" t="s">
        <v>32</v>
      </c>
      <c r="E485" s="1" t="s">
        <v>29</v>
      </c>
      <c r="F485" s="1" t="s">
        <v>13</v>
      </c>
      <c r="G485" s="1" t="s">
        <v>40</v>
      </c>
      <c r="H485">
        <v>4548</v>
      </c>
      <c r="I485">
        <v>4</v>
      </c>
      <c r="J485">
        <v>2023</v>
      </c>
      <c r="K485" s="1" t="s">
        <v>873</v>
      </c>
      <c r="L485">
        <v>11</v>
      </c>
      <c r="M485" s="1">
        <v>18192</v>
      </c>
    </row>
    <row r="486" spans="1:13" x14ac:dyDescent="0.3">
      <c r="A486" s="1" t="s">
        <v>543</v>
      </c>
      <c r="B486" s="2">
        <v>45250</v>
      </c>
      <c r="C486" s="1" t="s">
        <v>109</v>
      </c>
      <c r="D486" s="1" t="s">
        <v>110</v>
      </c>
      <c r="E486" s="1" t="s">
        <v>36</v>
      </c>
      <c r="F486" s="1" t="s">
        <v>13</v>
      </c>
      <c r="G486" s="1" t="s">
        <v>14</v>
      </c>
      <c r="H486">
        <v>8282</v>
      </c>
      <c r="I486">
        <v>2</v>
      </c>
      <c r="J486">
        <v>2023</v>
      </c>
      <c r="K486" s="1" t="s">
        <v>873</v>
      </c>
      <c r="L486">
        <v>11</v>
      </c>
      <c r="M486" s="1">
        <v>16564</v>
      </c>
    </row>
    <row r="487" spans="1:13" x14ac:dyDescent="0.3">
      <c r="A487" s="1" t="s">
        <v>544</v>
      </c>
      <c r="B487" s="2">
        <v>44940</v>
      </c>
      <c r="C487" s="1" t="s">
        <v>34</v>
      </c>
      <c r="D487" s="1" t="s">
        <v>35</v>
      </c>
      <c r="E487" s="1" t="s">
        <v>12</v>
      </c>
      <c r="F487" s="1" t="s">
        <v>25</v>
      </c>
      <c r="G487" s="1" t="s">
        <v>14</v>
      </c>
      <c r="H487">
        <v>12498</v>
      </c>
      <c r="I487">
        <v>6</v>
      </c>
      <c r="J487">
        <v>2023</v>
      </c>
      <c r="K487" s="1" t="s">
        <v>868</v>
      </c>
      <c r="L487">
        <v>1</v>
      </c>
      <c r="M487" s="1">
        <v>74988</v>
      </c>
    </row>
    <row r="488" spans="1:13" x14ac:dyDescent="0.3">
      <c r="A488" s="1" t="s">
        <v>545</v>
      </c>
      <c r="B488" s="2">
        <v>45288</v>
      </c>
      <c r="C488" s="1" t="s">
        <v>137</v>
      </c>
      <c r="D488" s="1" t="s">
        <v>138</v>
      </c>
      <c r="E488" s="1" t="s">
        <v>29</v>
      </c>
      <c r="F488" s="1" t="s">
        <v>18</v>
      </c>
      <c r="G488" s="1" t="s">
        <v>40</v>
      </c>
      <c r="H488">
        <v>18240</v>
      </c>
      <c r="I488">
        <v>10</v>
      </c>
      <c r="J488">
        <v>2023</v>
      </c>
      <c r="K488" s="1" t="s">
        <v>869</v>
      </c>
      <c r="L488">
        <v>12</v>
      </c>
      <c r="M488" s="1">
        <v>182400</v>
      </c>
    </row>
    <row r="489" spans="1:13" x14ac:dyDescent="0.3">
      <c r="A489" s="1" t="s">
        <v>546</v>
      </c>
      <c r="B489" s="2">
        <v>45105</v>
      </c>
      <c r="C489" s="1" t="s">
        <v>47</v>
      </c>
      <c r="D489" s="1" t="s">
        <v>48</v>
      </c>
      <c r="E489" s="1" t="s">
        <v>29</v>
      </c>
      <c r="F489" s="1" t="s">
        <v>22</v>
      </c>
      <c r="G489" s="1" t="s">
        <v>40</v>
      </c>
      <c r="H489">
        <v>24408</v>
      </c>
      <c r="I489">
        <v>9</v>
      </c>
      <c r="J489">
        <v>2023</v>
      </c>
      <c r="K489" s="1" t="s">
        <v>863</v>
      </c>
      <c r="L489">
        <v>6</v>
      </c>
      <c r="M489" s="1">
        <v>219672</v>
      </c>
    </row>
    <row r="490" spans="1:13" x14ac:dyDescent="0.3">
      <c r="A490" s="1" t="s">
        <v>547</v>
      </c>
      <c r="B490" s="2">
        <v>45244</v>
      </c>
      <c r="C490" s="1" t="s">
        <v>38</v>
      </c>
      <c r="D490" s="1" t="s">
        <v>39</v>
      </c>
      <c r="E490" s="1" t="s">
        <v>12</v>
      </c>
      <c r="F490" s="1" t="s">
        <v>18</v>
      </c>
      <c r="G490" s="1" t="s">
        <v>40</v>
      </c>
      <c r="H490">
        <v>38370</v>
      </c>
      <c r="I490">
        <v>10</v>
      </c>
      <c r="J490">
        <v>2023</v>
      </c>
      <c r="K490" s="1" t="s">
        <v>873</v>
      </c>
      <c r="L490">
        <v>11</v>
      </c>
      <c r="M490" s="1">
        <v>383700</v>
      </c>
    </row>
    <row r="491" spans="1:13" x14ac:dyDescent="0.3">
      <c r="A491" s="1" t="s">
        <v>548</v>
      </c>
      <c r="B491" s="2">
        <v>45094</v>
      </c>
      <c r="C491" s="1" t="s">
        <v>20</v>
      </c>
      <c r="D491" s="1" t="s">
        <v>21</v>
      </c>
      <c r="E491" s="1" t="s">
        <v>29</v>
      </c>
      <c r="F491" s="1" t="s">
        <v>22</v>
      </c>
      <c r="G491" s="1" t="s">
        <v>40</v>
      </c>
      <c r="H491">
        <v>5469</v>
      </c>
      <c r="I491">
        <v>3</v>
      </c>
      <c r="J491">
        <v>2023</v>
      </c>
      <c r="K491" s="1" t="s">
        <v>863</v>
      </c>
      <c r="L491">
        <v>6</v>
      </c>
      <c r="M491" s="1">
        <v>16407</v>
      </c>
    </row>
    <row r="492" spans="1:13" x14ac:dyDescent="0.3">
      <c r="A492" s="1" t="s">
        <v>549</v>
      </c>
      <c r="B492" s="2">
        <v>45251</v>
      </c>
      <c r="C492" s="1" t="s">
        <v>27</v>
      </c>
      <c r="D492" s="1" t="s">
        <v>28</v>
      </c>
      <c r="E492" s="1" t="s">
        <v>36</v>
      </c>
      <c r="F492" s="1" t="s">
        <v>25</v>
      </c>
      <c r="G492" s="1" t="s">
        <v>40</v>
      </c>
      <c r="H492">
        <v>4760</v>
      </c>
      <c r="I492">
        <v>1</v>
      </c>
      <c r="J492">
        <v>2023</v>
      </c>
      <c r="K492" s="1" t="s">
        <v>873</v>
      </c>
      <c r="L492">
        <v>11</v>
      </c>
      <c r="M492" s="1">
        <v>4760</v>
      </c>
    </row>
    <row r="493" spans="1:13" x14ac:dyDescent="0.3">
      <c r="A493" s="1" t="s">
        <v>550</v>
      </c>
      <c r="B493" s="2">
        <v>45003</v>
      </c>
      <c r="C493" s="1" t="s">
        <v>67</v>
      </c>
      <c r="D493" s="1" t="s">
        <v>68</v>
      </c>
      <c r="E493" s="1" t="s">
        <v>12</v>
      </c>
      <c r="F493" s="1" t="s">
        <v>22</v>
      </c>
      <c r="G493" s="1" t="s">
        <v>23</v>
      </c>
      <c r="H493">
        <v>9424</v>
      </c>
      <c r="I493">
        <v>2</v>
      </c>
      <c r="J493">
        <v>2023</v>
      </c>
      <c r="K493" s="1" t="s">
        <v>870</v>
      </c>
      <c r="L493">
        <v>3</v>
      </c>
      <c r="M493" s="1">
        <v>18848</v>
      </c>
    </row>
    <row r="494" spans="1:13" x14ac:dyDescent="0.3">
      <c r="A494" s="1" t="s">
        <v>551</v>
      </c>
      <c r="B494" s="2">
        <v>45169</v>
      </c>
      <c r="C494" s="1" t="s">
        <v>109</v>
      </c>
      <c r="D494" s="1" t="s">
        <v>110</v>
      </c>
      <c r="E494" s="1" t="s">
        <v>29</v>
      </c>
      <c r="F494" s="1" t="s">
        <v>13</v>
      </c>
      <c r="G494" s="1" t="s">
        <v>14</v>
      </c>
      <c r="H494">
        <v>14595</v>
      </c>
      <c r="I494">
        <v>5</v>
      </c>
      <c r="J494">
        <v>2023</v>
      </c>
      <c r="K494" s="1" t="s">
        <v>874</v>
      </c>
      <c r="L494">
        <v>8</v>
      </c>
      <c r="M494" s="1">
        <v>72975</v>
      </c>
    </row>
    <row r="495" spans="1:13" x14ac:dyDescent="0.3">
      <c r="A495" s="1" t="s">
        <v>552</v>
      </c>
      <c r="B495" s="2">
        <v>45267</v>
      </c>
      <c r="C495" s="1" t="s">
        <v>109</v>
      </c>
      <c r="D495" s="1" t="s">
        <v>110</v>
      </c>
      <c r="E495" s="1" t="s">
        <v>36</v>
      </c>
      <c r="F495" s="1" t="s">
        <v>13</v>
      </c>
      <c r="G495" s="1" t="s">
        <v>23</v>
      </c>
      <c r="H495">
        <v>11973</v>
      </c>
      <c r="I495">
        <v>3</v>
      </c>
      <c r="J495">
        <v>2023</v>
      </c>
      <c r="K495" s="1" t="s">
        <v>869</v>
      </c>
      <c r="L495">
        <v>12</v>
      </c>
      <c r="M495" s="1">
        <v>35919</v>
      </c>
    </row>
    <row r="496" spans="1:13" x14ac:dyDescent="0.3">
      <c r="A496" s="1" t="s">
        <v>553</v>
      </c>
      <c r="B496" s="2">
        <v>45173</v>
      </c>
      <c r="C496" s="1" t="s">
        <v>38</v>
      </c>
      <c r="D496" s="1" t="s">
        <v>39</v>
      </c>
      <c r="E496" s="1" t="s">
        <v>36</v>
      </c>
      <c r="F496" s="1" t="s">
        <v>22</v>
      </c>
      <c r="G496" s="1" t="s">
        <v>23</v>
      </c>
      <c r="H496">
        <v>15640</v>
      </c>
      <c r="I496">
        <v>10</v>
      </c>
      <c r="J496">
        <v>2023</v>
      </c>
      <c r="K496" s="1" t="s">
        <v>866</v>
      </c>
      <c r="L496">
        <v>9</v>
      </c>
      <c r="M496" s="1">
        <v>156400</v>
      </c>
    </row>
    <row r="497" spans="1:13" x14ac:dyDescent="0.3">
      <c r="A497" s="1" t="s">
        <v>554</v>
      </c>
      <c r="B497" s="2">
        <v>44939</v>
      </c>
      <c r="C497" s="1" t="s">
        <v>34</v>
      </c>
      <c r="D497" s="1" t="s">
        <v>35</v>
      </c>
      <c r="E497" s="1" t="s">
        <v>12</v>
      </c>
      <c r="F497" s="1" t="s">
        <v>22</v>
      </c>
      <c r="G497" s="1" t="s">
        <v>23</v>
      </c>
      <c r="H497">
        <v>13152</v>
      </c>
      <c r="I497">
        <v>6</v>
      </c>
      <c r="J497">
        <v>2023</v>
      </c>
      <c r="K497" s="1" t="s">
        <v>868</v>
      </c>
      <c r="L497">
        <v>1</v>
      </c>
      <c r="M497" s="1">
        <v>78912</v>
      </c>
    </row>
    <row r="498" spans="1:13" x14ac:dyDescent="0.3">
      <c r="A498" s="1" t="s">
        <v>555</v>
      </c>
      <c r="B498" s="2">
        <v>44976</v>
      </c>
      <c r="C498" s="1" t="s">
        <v>123</v>
      </c>
      <c r="D498" s="1" t="s">
        <v>124</v>
      </c>
      <c r="E498" s="1" t="s">
        <v>12</v>
      </c>
      <c r="F498" s="1" t="s">
        <v>13</v>
      </c>
      <c r="G498" s="1" t="s">
        <v>14</v>
      </c>
      <c r="H498">
        <v>15030</v>
      </c>
      <c r="I498">
        <v>10</v>
      </c>
      <c r="J498">
        <v>2023</v>
      </c>
      <c r="K498" s="1" t="s">
        <v>871</v>
      </c>
      <c r="L498">
        <v>2</v>
      </c>
      <c r="M498" s="1">
        <v>150300</v>
      </c>
    </row>
    <row r="499" spans="1:13" x14ac:dyDescent="0.3">
      <c r="A499" s="1" t="s">
        <v>556</v>
      </c>
      <c r="B499" s="2">
        <v>45206</v>
      </c>
      <c r="C499" s="1" t="s">
        <v>77</v>
      </c>
      <c r="D499" s="1" t="s">
        <v>78</v>
      </c>
      <c r="E499" s="1" t="s">
        <v>12</v>
      </c>
      <c r="F499" s="1" t="s">
        <v>25</v>
      </c>
      <c r="G499" s="1" t="s">
        <v>40</v>
      </c>
      <c r="H499">
        <v>16165</v>
      </c>
      <c r="I499">
        <v>5</v>
      </c>
      <c r="J499">
        <v>2023</v>
      </c>
      <c r="K499" s="1" t="s">
        <v>865</v>
      </c>
      <c r="L499">
        <v>10</v>
      </c>
      <c r="M499" s="1">
        <v>80825</v>
      </c>
    </row>
    <row r="500" spans="1:13" x14ac:dyDescent="0.3">
      <c r="A500" s="1" t="s">
        <v>557</v>
      </c>
      <c r="B500" s="2">
        <v>45130</v>
      </c>
      <c r="C500" s="1" t="s">
        <v>10</v>
      </c>
      <c r="D500" s="1" t="s">
        <v>11</v>
      </c>
      <c r="E500" s="1" t="s">
        <v>12</v>
      </c>
      <c r="F500" s="1" t="s">
        <v>13</v>
      </c>
      <c r="G500" s="1" t="s">
        <v>40</v>
      </c>
      <c r="H500">
        <v>4720</v>
      </c>
      <c r="I500">
        <v>1</v>
      </c>
      <c r="J500">
        <v>2023</v>
      </c>
      <c r="K500" s="1" t="s">
        <v>864</v>
      </c>
      <c r="L500">
        <v>7</v>
      </c>
      <c r="M500" s="1">
        <v>4720</v>
      </c>
    </row>
    <row r="501" spans="1:13" x14ac:dyDescent="0.3">
      <c r="A501" s="1" t="s">
        <v>558</v>
      </c>
      <c r="B501" s="2">
        <v>44949</v>
      </c>
      <c r="C501" s="1" t="s">
        <v>38</v>
      </c>
      <c r="D501" s="1" t="s">
        <v>39</v>
      </c>
      <c r="E501" s="1" t="s">
        <v>36</v>
      </c>
      <c r="F501" s="1" t="s">
        <v>13</v>
      </c>
      <c r="G501" s="1" t="s">
        <v>23</v>
      </c>
      <c r="H501">
        <v>2688</v>
      </c>
      <c r="I501">
        <v>1</v>
      </c>
      <c r="J501">
        <v>2023</v>
      </c>
      <c r="K501" s="1" t="s">
        <v>868</v>
      </c>
      <c r="L501">
        <v>1</v>
      </c>
      <c r="M501" s="1">
        <v>2688</v>
      </c>
    </row>
    <row r="502" spans="1:13" x14ac:dyDescent="0.3">
      <c r="A502" s="1" t="s">
        <v>559</v>
      </c>
      <c r="B502" s="2">
        <v>45197</v>
      </c>
      <c r="C502" s="1" t="s">
        <v>109</v>
      </c>
      <c r="D502" s="1" t="s">
        <v>110</v>
      </c>
      <c r="E502" s="1" t="s">
        <v>12</v>
      </c>
      <c r="F502" s="1" t="s">
        <v>13</v>
      </c>
      <c r="G502" s="1" t="s">
        <v>14</v>
      </c>
      <c r="H502">
        <v>8792</v>
      </c>
      <c r="I502">
        <v>4</v>
      </c>
      <c r="J502">
        <v>2023</v>
      </c>
      <c r="K502" s="1" t="s">
        <v>866</v>
      </c>
      <c r="L502">
        <v>9</v>
      </c>
      <c r="M502" s="1">
        <v>35168</v>
      </c>
    </row>
    <row r="503" spans="1:13" x14ac:dyDescent="0.3">
      <c r="A503" s="1" t="s">
        <v>560</v>
      </c>
      <c r="B503" s="2">
        <v>45202</v>
      </c>
      <c r="C503" s="1" t="s">
        <v>61</v>
      </c>
      <c r="D503" s="1" t="s">
        <v>62</v>
      </c>
      <c r="E503" s="1" t="s">
        <v>36</v>
      </c>
      <c r="F503" s="1" t="s">
        <v>13</v>
      </c>
      <c r="G503" s="1" t="s">
        <v>14</v>
      </c>
      <c r="H503">
        <v>12744</v>
      </c>
      <c r="I503">
        <v>3</v>
      </c>
      <c r="J503">
        <v>2023</v>
      </c>
      <c r="K503" s="1" t="s">
        <v>865</v>
      </c>
      <c r="L503">
        <v>10</v>
      </c>
      <c r="M503" s="1">
        <v>38232</v>
      </c>
    </row>
    <row r="504" spans="1:13" x14ac:dyDescent="0.3">
      <c r="A504" s="1" t="s">
        <v>561</v>
      </c>
      <c r="B504" s="2">
        <v>45223</v>
      </c>
      <c r="C504" s="1" t="s">
        <v>43</v>
      </c>
      <c r="D504" s="1" t="s">
        <v>44</v>
      </c>
      <c r="E504" s="1" t="s">
        <v>12</v>
      </c>
      <c r="F504" s="1" t="s">
        <v>13</v>
      </c>
      <c r="G504" s="1" t="s">
        <v>14</v>
      </c>
      <c r="H504">
        <v>24720</v>
      </c>
      <c r="I504">
        <v>8</v>
      </c>
      <c r="J504">
        <v>2023</v>
      </c>
      <c r="K504" s="1" t="s">
        <v>865</v>
      </c>
      <c r="L504">
        <v>10</v>
      </c>
      <c r="M504" s="1">
        <v>197760</v>
      </c>
    </row>
    <row r="505" spans="1:13" x14ac:dyDescent="0.3">
      <c r="A505" s="1" t="s">
        <v>562</v>
      </c>
      <c r="B505" s="2">
        <v>45063</v>
      </c>
      <c r="C505" s="1" t="s">
        <v>27</v>
      </c>
      <c r="D505" s="1" t="s">
        <v>28</v>
      </c>
      <c r="E505" s="1" t="s">
        <v>29</v>
      </c>
      <c r="F505" s="1" t="s">
        <v>13</v>
      </c>
      <c r="G505" s="1" t="s">
        <v>14</v>
      </c>
      <c r="H505">
        <v>11768</v>
      </c>
      <c r="I505">
        <v>4</v>
      </c>
      <c r="J505">
        <v>2023</v>
      </c>
      <c r="K505" s="1" t="s">
        <v>872</v>
      </c>
      <c r="L505">
        <v>5</v>
      </c>
      <c r="M505" s="1">
        <v>47072</v>
      </c>
    </row>
    <row r="506" spans="1:13" x14ac:dyDescent="0.3">
      <c r="A506" s="1" t="s">
        <v>563</v>
      </c>
      <c r="B506" s="2">
        <v>44945</v>
      </c>
      <c r="C506" s="1" t="s">
        <v>109</v>
      </c>
      <c r="D506" s="1" t="s">
        <v>110</v>
      </c>
      <c r="E506" s="1" t="s">
        <v>12</v>
      </c>
      <c r="F506" s="1" t="s">
        <v>25</v>
      </c>
      <c r="G506" s="1" t="s">
        <v>14</v>
      </c>
      <c r="H506">
        <v>16422</v>
      </c>
      <c r="I506">
        <v>6</v>
      </c>
      <c r="J506">
        <v>2023</v>
      </c>
      <c r="K506" s="1" t="s">
        <v>868</v>
      </c>
      <c r="L506">
        <v>1</v>
      </c>
      <c r="M506" s="1">
        <v>98532</v>
      </c>
    </row>
    <row r="507" spans="1:13" x14ac:dyDescent="0.3">
      <c r="A507" s="1" t="s">
        <v>564</v>
      </c>
      <c r="B507" s="2">
        <v>45070</v>
      </c>
      <c r="C507" s="1" t="s">
        <v>67</v>
      </c>
      <c r="D507" s="1" t="s">
        <v>68</v>
      </c>
      <c r="E507" s="1" t="s">
        <v>36</v>
      </c>
      <c r="F507" s="1" t="s">
        <v>18</v>
      </c>
      <c r="G507" s="1" t="s">
        <v>40</v>
      </c>
      <c r="H507">
        <v>27846</v>
      </c>
      <c r="I507">
        <v>7</v>
      </c>
      <c r="J507">
        <v>2023</v>
      </c>
      <c r="K507" s="1" t="s">
        <v>872</v>
      </c>
      <c r="L507">
        <v>5</v>
      </c>
      <c r="M507" s="1">
        <v>194922</v>
      </c>
    </row>
    <row r="508" spans="1:13" x14ac:dyDescent="0.3">
      <c r="A508" s="1" t="s">
        <v>565</v>
      </c>
      <c r="B508" s="2">
        <v>45154</v>
      </c>
      <c r="C508" s="1" t="s">
        <v>43</v>
      </c>
      <c r="D508" s="1" t="s">
        <v>44</v>
      </c>
      <c r="E508" s="1" t="s">
        <v>12</v>
      </c>
      <c r="F508" s="1" t="s">
        <v>18</v>
      </c>
      <c r="G508" s="1" t="s">
        <v>14</v>
      </c>
      <c r="H508">
        <v>30384</v>
      </c>
      <c r="I508">
        <v>9</v>
      </c>
      <c r="J508">
        <v>2023</v>
      </c>
      <c r="K508" s="1" t="s">
        <v>874</v>
      </c>
      <c r="L508">
        <v>8</v>
      </c>
      <c r="M508" s="1">
        <v>273456</v>
      </c>
    </row>
    <row r="509" spans="1:13" x14ac:dyDescent="0.3">
      <c r="A509" s="1" t="s">
        <v>566</v>
      </c>
      <c r="B509" s="2">
        <v>44930</v>
      </c>
      <c r="C509" s="1" t="s">
        <v>50</v>
      </c>
      <c r="D509" s="1" t="s">
        <v>51</v>
      </c>
      <c r="E509" s="1" t="s">
        <v>12</v>
      </c>
      <c r="F509" s="1" t="s">
        <v>25</v>
      </c>
      <c r="G509" s="1" t="s">
        <v>14</v>
      </c>
      <c r="H509">
        <v>9318</v>
      </c>
      <c r="I509">
        <v>3</v>
      </c>
      <c r="J509">
        <v>2023</v>
      </c>
      <c r="K509" s="1" t="s">
        <v>868</v>
      </c>
      <c r="L509">
        <v>1</v>
      </c>
      <c r="M509" s="1">
        <v>27954</v>
      </c>
    </row>
    <row r="510" spans="1:13" x14ac:dyDescent="0.3">
      <c r="A510" s="1" t="s">
        <v>567</v>
      </c>
      <c r="B510" s="2">
        <v>45228</v>
      </c>
      <c r="C510" s="1" t="s">
        <v>27</v>
      </c>
      <c r="D510" s="1" t="s">
        <v>28</v>
      </c>
      <c r="E510" s="1" t="s">
        <v>29</v>
      </c>
      <c r="F510" s="1" t="s">
        <v>25</v>
      </c>
      <c r="G510" s="1" t="s">
        <v>40</v>
      </c>
      <c r="H510">
        <v>2790</v>
      </c>
      <c r="I510">
        <v>3</v>
      </c>
      <c r="J510">
        <v>2023</v>
      </c>
      <c r="K510" s="1" t="s">
        <v>865</v>
      </c>
      <c r="L510">
        <v>10</v>
      </c>
      <c r="M510" s="1">
        <v>8370</v>
      </c>
    </row>
    <row r="511" spans="1:13" x14ac:dyDescent="0.3">
      <c r="A511" s="1" t="s">
        <v>568</v>
      </c>
      <c r="B511" s="2">
        <v>44941</v>
      </c>
      <c r="C511" s="1" t="s">
        <v>109</v>
      </c>
      <c r="D511" s="1" t="s">
        <v>110</v>
      </c>
      <c r="E511" s="1" t="s">
        <v>36</v>
      </c>
      <c r="F511" s="1" t="s">
        <v>25</v>
      </c>
      <c r="G511" s="1" t="s">
        <v>40</v>
      </c>
      <c r="H511">
        <v>1025</v>
      </c>
      <c r="I511">
        <v>1</v>
      </c>
      <c r="J511">
        <v>2023</v>
      </c>
      <c r="K511" s="1" t="s">
        <v>868</v>
      </c>
      <c r="L511">
        <v>1</v>
      </c>
      <c r="M511" s="1">
        <v>1025</v>
      </c>
    </row>
    <row r="512" spans="1:13" x14ac:dyDescent="0.3">
      <c r="A512" s="1" t="s">
        <v>569</v>
      </c>
      <c r="B512" s="2">
        <v>45270</v>
      </c>
      <c r="C512" s="1" t="s">
        <v>109</v>
      </c>
      <c r="D512" s="1" t="s">
        <v>110</v>
      </c>
      <c r="E512" s="1" t="s">
        <v>29</v>
      </c>
      <c r="F512" s="1" t="s">
        <v>22</v>
      </c>
      <c r="G512" s="1" t="s">
        <v>23</v>
      </c>
      <c r="H512">
        <v>4045</v>
      </c>
      <c r="I512">
        <v>5</v>
      </c>
      <c r="J512">
        <v>2023</v>
      </c>
      <c r="K512" s="1" t="s">
        <v>869</v>
      </c>
      <c r="L512">
        <v>12</v>
      </c>
      <c r="M512" s="1">
        <v>20225</v>
      </c>
    </row>
    <row r="513" spans="1:13" x14ac:dyDescent="0.3">
      <c r="A513" s="1" t="s">
        <v>570</v>
      </c>
      <c r="B513" s="2">
        <v>45024</v>
      </c>
      <c r="C513" s="1" t="s">
        <v>77</v>
      </c>
      <c r="D513" s="1" t="s">
        <v>78</v>
      </c>
      <c r="E513" s="1" t="s">
        <v>36</v>
      </c>
      <c r="F513" s="1" t="s">
        <v>13</v>
      </c>
      <c r="G513" s="1" t="s">
        <v>23</v>
      </c>
      <c r="H513">
        <v>22800</v>
      </c>
      <c r="I513">
        <v>10</v>
      </c>
      <c r="J513">
        <v>2023</v>
      </c>
      <c r="K513" s="1" t="s">
        <v>867</v>
      </c>
      <c r="L513">
        <v>4</v>
      </c>
      <c r="M513" s="1">
        <v>228000</v>
      </c>
    </row>
    <row r="514" spans="1:13" x14ac:dyDescent="0.3">
      <c r="A514" s="1" t="s">
        <v>571</v>
      </c>
      <c r="B514" s="2">
        <v>45017</v>
      </c>
      <c r="C514" s="1" t="s">
        <v>38</v>
      </c>
      <c r="D514" s="1" t="s">
        <v>39</v>
      </c>
      <c r="E514" s="1" t="s">
        <v>29</v>
      </c>
      <c r="F514" s="1" t="s">
        <v>18</v>
      </c>
      <c r="G514" s="1" t="s">
        <v>23</v>
      </c>
      <c r="H514">
        <v>43780</v>
      </c>
      <c r="I514">
        <v>10</v>
      </c>
      <c r="J514">
        <v>2023</v>
      </c>
      <c r="K514" s="1" t="s">
        <v>867</v>
      </c>
      <c r="L514">
        <v>4</v>
      </c>
      <c r="M514" s="1">
        <v>437800</v>
      </c>
    </row>
    <row r="515" spans="1:13" x14ac:dyDescent="0.3">
      <c r="A515" s="1" t="s">
        <v>572</v>
      </c>
      <c r="B515" s="2">
        <v>45236</v>
      </c>
      <c r="C515" s="1" t="s">
        <v>10</v>
      </c>
      <c r="D515" s="1" t="s">
        <v>11</v>
      </c>
      <c r="E515" s="1" t="s">
        <v>29</v>
      </c>
      <c r="F515" s="1" t="s">
        <v>13</v>
      </c>
      <c r="G515" s="1" t="s">
        <v>14</v>
      </c>
      <c r="H515">
        <v>6768</v>
      </c>
      <c r="I515">
        <v>8</v>
      </c>
      <c r="J515">
        <v>2023</v>
      </c>
      <c r="K515" s="1" t="s">
        <v>873</v>
      </c>
      <c r="L515">
        <v>11</v>
      </c>
      <c r="M515" s="1">
        <v>54144</v>
      </c>
    </row>
    <row r="516" spans="1:13" x14ac:dyDescent="0.3">
      <c r="A516" s="1" t="s">
        <v>573</v>
      </c>
      <c r="B516" s="2">
        <v>45284</v>
      </c>
      <c r="C516" s="1" t="s">
        <v>137</v>
      </c>
      <c r="D516" s="1" t="s">
        <v>138</v>
      </c>
      <c r="E516" s="1" t="s">
        <v>29</v>
      </c>
      <c r="F516" s="1" t="s">
        <v>25</v>
      </c>
      <c r="G516" s="1" t="s">
        <v>40</v>
      </c>
      <c r="H516">
        <v>30544</v>
      </c>
      <c r="I516">
        <v>8</v>
      </c>
      <c r="J516">
        <v>2023</v>
      </c>
      <c r="K516" s="1" t="s">
        <v>869</v>
      </c>
      <c r="L516">
        <v>12</v>
      </c>
      <c r="M516" s="1">
        <v>244352</v>
      </c>
    </row>
    <row r="517" spans="1:13" x14ac:dyDescent="0.3">
      <c r="A517" s="1" t="s">
        <v>574</v>
      </c>
      <c r="B517" s="2">
        <v>45240</v>
      </c>
      <c r="C517" s="1" t="s">
        <v>123</v>
      </c>
      <c r="D517" s="1" t="s">
        <v>124</v>
      </c>
      <c r="E517" s="1" t="s">
        <v>12</v>
      </c>
      <c r="F517" s="1" t="s">
        <v>22</v>
      </c>
      <c r="G517" s="1" t="s">
        <v>14</v>
      </c>
      <c r="H517">
        <v>13570</v>
      </c>
      <c r="I517">
        <v>5</v>
      </c>
      <c r="J517">
        <v>2023</v>
      </c>
      <c r="K517" s="1" t="s">
        <v>873</v>
      </c>
      <c r="L517">
        <v>11</v>
      </c>
      <c r="M517" s="1">
        <v>67850</v>
      </c>
    </row>
    <row r="518" spans="1:13" x14ac:dyDescent="0.3">
      <c r="A518" s="1" t="s">
        <v>575</v>
      </c>
      <c r="B518" s="2">
        <v>45137</v>
      </c>
      <c r="C518" s="1" t="s">
        <v>31</v>
      </c>
      <c r="D518" s="1" t="s">
        <v>32</v>
      </c>
      <c r="E518" s="1" t="s">
        <v>29</v>
      </c>
      <c r="F518" s="1" t="s">
        <v>25</v>
      </c>
      <c r="G518" s="1" t="s">
        <v>14</v>
      </c>
      <c r="H518">
        <v>15030</v>
      </c>
      <c r="I518">
        <v>10</v>
      </c>
      <c r="J518">
        <v>2023</v>
      </c>
      <c r="K518" s="1" t="s">
        <v>864</v>
      </c>
      <c r="L518">
        <v>7</v>
      </c>
      <c r="M518" s="1">
        <v>150300</v>
      </c>
    </row>
    <row r="519" spans="1:13" x14ac:dyDescent="0.3">
      <c r="A519" s="1" t="s">
        <v>576</v>
      </c>
      <c r="B519" s="2">
        <v>45269</v>
      </c>
      <c r="C519" s="1" t="s">
        <v>31</v>
      </c>
      <c r="D519" s="1" t="s">
        <v>32</v>
      </c>
      <c r="E519" s="1" t="s">
        <v>12</v>
      </c>
      <c r="F519" s="1" t="s">
        <v>13</v>
      </c>
      <c r="G519" s="1" t="s">
        <v>14</v>
      </c>
      <c r="H519">
        <v>7624</v>
      </c>
      <c r="I519">
        <v>8</v>
      </c>
      <c r="J519">
        <v>2023</v>
      </c>
      <c r="K519" s="1" t="s">
        <v>869</v>
      </c>
      <c r="L519">
        <v>12</v>
      </c>
      <c r="M519" s="1">
        <v>60992</v>
      </c>
    </row>
    <row r="520" spans="1:13" x14ac:dyDescent="0.3">
      <c r="A520" s="1" t="s">
        <v>577</v>
      </c>
      <c r="B520" s="2">
        <v>45049</v>
      </c>
      <c r="C520" s="1" t="s">
        <v>20</v>
      </c>
      <c r="D520" s="1" t="s">
        <v>21</v>
      </c>
      <c r="E520" s="1" t="s">
        <v>29</v>
      </c>
      <c r="F520" s="1" t="s">
        <v>13</v>
      </c>
      <c r="G520" s="1" t="s">
        <v>14</v>
      </c>
      <c r="H520">
        <v>2742</v>
      </c>
      <c r="I520">
        <v>3</v>
      </c>
      <c r="J520">
        <v>2023</v>
      </c>
      <c r="K520" s="1" t="s">
        <v>872</v>
      </c>
      <c r="L520">
        <v>5</v>
      </c>
      <c r="M520" s="1">
        <v>8226</v>
      </c>
    </row>
    <row r="521" spans="1:13" x14ac:dyDescent="0.3">
      <c r="A521" s="1" t="s">
        <v>578</v>
      </c>
      <c r="B521" s="2">
        <v>45020</v>
      </c>
      <c r="C521" s="1" t="s">
        <v>50</v>
      </c>
      <c r="D521" s="1" t="s">
        <v>51</v>
      </c>
      <c r="E521" s="1" t="s">
        <v>36</v>
      </c>
      <c r="F521" s="1" t="s">
        <v>18</v>
      </c>
      <c r="G521" s="1" t="s">
        <v>23</v>
      </c>
      <c r="H521">
        <v>7290</v>
      </c>
      <c r="I521">
        <v>9</v>
      </c>
      <c r="J521">
        <v>2023</v>
      </c>
      <c r="K521" s="1" t="s">
        <v>867</v>
      </c>
      <c r="L521">
        <v>4</v>
      </c>
      <c r="M521" s="1">
        <v>65610</v>
      </c>
    </row>
    <row r="522" spans="1:13" x14ac:dyDescent="0.3">
      <c r="A522" s="1" t="s">
        <v>579</v>
      </c>
      <c r="B522" s="2">
        <v>45205</v>
      </c>
      <c r="C522" s="1" t="s">
        <v>16</v>
      </c>
      <c r="D522" s="1" t="s">
        <v>17</v>
      </c>
      <c r="E522" s="1" t="s">
        <v>12</v>
      </c>
      <c r="F522" s="1" t="s">
        <v>18</v>
      </c>
      <c r="G522" s="1" t="s">
        <v>40</v>
      </c>
      <c r="H522">
        <v>19028</v>
      </c>
      <c r="I522">
        <v>4</v>
      </c>
      <c r="J522">
        <v>2023</v>
      </c>
      <c r="K522" s="1" t="s">
        <v>865</v>
      </c>
      <c r="L522">
        <v>10</v>
      </c>
      <c r="M522" s="1">
        <v>76112</v>
      </c>
    </row>
    <row r="523" spans="1:13" x14ac:dyDescent="0.3">
      <c r="A523" s="1" t="s">
        <v>580</v>
      </c>
      <c r="B523" s="2">
        <v>45107</v>
      </c>
      <c r="C523" s="1" t="s">
        <v>50</v>
      </c>
      <c r="D523" s="1" t="s">
        <v>51</v>
      </c>
      <c r="E523" s="1" t="s">
        <v>12</v>
      </c>
      <c r="F523" s="1" t="s">
        <v>13</v>
      </c>
      <c r="G523" s="1" t="s">
        <v>40</v>
      </c>
      <c r="H523">
        <v>4380</v>
      </c>
      <c r="I523">
        <v>4</v>
      </c>
      <c r="J523">
        <v>2023</v>
      </c>
      <c r="K523" s="1" t="s">
        <v>863</v>
      </c>
      <c r="L523">
        <v>6</v>
      </c>
      <c r="M523" s="1">
        <v>17520</v>
      </c>
    </row>
    <row r="524" spans="1:13" x14ac:dyDescent="0.3">
      <c r="A524" s="1" t="s">
        <v>581</v>
      </c>
      <c r="B524" s="2">
        <v>45055</v>
      </c>
      <c r="C524" s="1" t="s">
        <v>10</v>
      </c>
      <c r="D524" s="1" t="s">
        <v>11</v>
      </c>
      <c r="E524" s="1" t="s">
        <v>12</v>
      </c>
      <c r="F524" s="1" t="s">
        <v>25</v>
      </c>
      <c r="G524" s="1" t="s">
        <v>23</v>
      </c>
      <c r="H524">
        <v>33730</v>
      </c>
      <c r="I524">
        <v>10</v>
      </c>
      <c r="J524">
        <v>2023</v>
      </c>
      <c r="K524" s="1" t="s">
        <v>872</v>
      </c>
      <c r="L524">
        <v>5</v>
      </c>
      <c r="M524" s="1">
        <v>337300</v>
      </c>
    </row>
    <row r="525" spans="1:13" x14ac:dyDescent="0.3">
      <c r="A525" s="1" t="s">
        <v>582</v>
      </c>
      <c r="B525" s="2">
        <v>45237</v>
      </c>
      <c r="C525" s="1" t="s">
        <v>27</v>
      </c>
      <c r="D525" s="1" t="s">
        <v>28</v>
      </c>
      <c r="E525" s="1" t="s">
        <v>12</v>
      </c>
      <c r="F525" s="1" t="s">
        <v>25</v>
      </c>
      <c r="G525" s="1" t="s">
        <v>14</v>
      </c>
      <c r="H525">
        <v>15220</v>
      </c>
      <c r="I525">
        <v>4</v>
      </c>
      <c r="J525">
        <v>2023</v>
      </c>
      <c r="K525" s="1" t="s">
        <v>873</v>
      </c>
      <c r="L525">
        <v>11</v>
      </c>
      <c r="M525" s="1">
        <v>60880</v>
      </c>
    </row>
    <row r="526" spans="1:13" x14ac:dyDescent="0.3">
      <c r="A526" s="1" t="s">
        <v>583</v>
      </c>
      <c r="B526" s="2">
        <v>45177</v>
      </c>
      <c r="C526" s="1" t="s">
        <v>73</v>
      </c>
      <c r="D526" s="1" t="s">
        <v>74</v>
      </c>
      <c r="E526" s="1" t="s">
        <v>12</v>
      </c>
      <c r="F526" s="1" t="s">
        <v>22</v>
      </c>
      <c r="G526" s="1" t="s">
        <v>40</v>
      </c>
      <c r="H526">
        <v>8620</v>
      </c>
      <c r="I526">
        <v>10</v>
      </c>
      <c r="J526">
        <v>2023</v>
      </c>
      <c r="K526" s="1" t="s">
        <v>866</v>
      </c>
      <c r="L526">
        <v>9</v>
      </c>
      <c r="M526" s="1">
        <v>86200</v>
      </c>
    </row>
    <row r="527" spans="1:13" x14ac:dyDescent="0.3">
      <c r="A527" s="1" t="s">
        <v>584</v>
      </c>
      <c r="B527" s="2">
        <v>45266</v>
      </c>
      <c r="C527" s="1" t="s">
        <v>16</v>
      </c>
      <c r="D527" s="1" t="s">
        <v>17</v>
      </c>
      <c r="E527" s="1" t="s">
        <v>36</v>
      </c>
      <c r="F527" s="1" t="s">
        <v>18</v>
      </c>
      <c r="G527" s="1" t="s">
        <v>14</v>
      </c>
      <c r="H527">
        <v>2812</v>
      </c>
      <c r="I527">
        <v>2</v>
      </c>
      <c r="J527">
        <v>2023</v>
      </c>
      <c r="K527" s="1" t="s">
        <v>869</v>
      </c>
      <c r="L527">
        <v>12</v>
      </c>
      <c r="M527" s="1">
        <v>5624</v>
      </c>
    </row>
    <row r="528" spans="1:13" x14ac:dyDescent="0.3">
      <c r="A528" s="1" t="s">
        <v>585</v>
      </c>
      <c r="B528" s="2">
        <v>45030</v>
      </c>
      <c r="C528" s="1" t="s">
        <v>123</v>
      </c>
      <c r="D528" s="1" t="s">
        <v>124</v>
      </c>
      <c r="E528" s="1" t="s">
        <v>36</v>
      </c>
      <c r="F528" s="1" t="s">
        <v>13</v>
      </c>
      <c r="G528" s="1" t="s">
        <v>23</v>
      </c>
      <c r="H528">
        <v>9702</v>
      </c>
      <c r="I528">
        <v>2</v>
      </c>
      <c r="J528">
        <v>2023</v>
      </c>
      <c r="K528" s="1" t="s">
        <v>867</v>
      </c>
      <c r="L528">
        <v>4</v>
      </c>
      <c r="M528" s="1">
        <v>19404</v>
      </c>
    </row>
    <row r="529" spans="1:13" x14ac:dyDescent="0.3">
      <c r="A529" s="1" t="s">
        <v>586</v>
      </c>
      <c r="B529" s="2">
        <v>45179</v>
      </c>
      <c r="C529" s="1" t="s">
        <v>123</v>
      </c>
      <c r="D529" s="1" t="s">
        <v>124</v>
      </c>
      <c r="E529" s="1" t="s">
        <v>29</v>
      </c>
      <c r="F529" s="1" t="s">
        <v>18</v>
      </c>
      <c r="G529" s="1" t="s">
        <v>14</v>
      </c>
      <c r="H529">
        <v>3819</v>
      </c>
      <c r="I529">
        <v>3</v>
      </c>
      <c r="J529">
        <v>2023</v>
      </c>
      <c r="K529" s="1" t="s">
        <v>866</v>
      </c>
      <c r="L529">
        <v>9</v>
      </c>
      <c r="M529" s="1">
        <v>11457</v>
      </c>
    </row>
    <row r="530" spans="1:13" x14ac:dyDescent="0.3">
      <c r="A530" s="1" t="s">
        <v>587</v>
      </c>
      <c r="B530" s="2">
        <v>45125</v>
      </c>
      <c r="C530" s="1" t="s">
        <v>61</v>
      </c>
      <c r="D530" s="1" t="s">
        <v>62</v>
      </c>
      <c r="E530" s="1" t="s">
        <v>36</v>
      </c>
      <c r="F530" s="1" t="s">
        <v>13</v>
      </c>
      <c r="G530" s="1" t="s">
        <v>40</v>
      </c>
      <c r="H530">
        <v>1125</v>
      </c>
      <c r="I530">
        <v>1</v>
      </c>
      <c r="J530">
        <v>2023</v>
      </c>
      <c r="K530" s="1" t="s">
        <v>864</v>
      </c>
      <c r="L530">
        <v>7</v>
      </c>
      <c r="M530" s="1">
        <v>1125</v>
      </c>
    </row>
    <row r="531" spans="1:13" x14ac:dyDescent="0.3">
      <c r="A531" s="1" t="s">
        <v>588</v>
      </c>
      <c r="B531" s="2">
        <v>45266</v>
      </c>
      <c r="C531" s="1" t="s">
        <v>27</v>
      </c>
      <c r="D531" s="1" t="s">
        <v>28</v>
      </c>
      <c r="E531" s="1" t="s">
        <v>12</v>
      </c>
      <c r="F531" s="1" t="s">
        <v>18</v>
      </c>
      <c r="G531" s="1" t="s">
        <v>23</v>
      </c>
      <c r="H531">
        <v>19859</v>
      </c>
      <c r="I531">
        <v>7</v>
      </c>
      <c r="J531">
        <v>2023</v>
      </c>
      <c r="K531" s="1" t="s">
        <v>869</v>
      </c>
      <c r="L531">
        <v>12</v>
      </c>
      <c r="M531" s="1">
        <v>139013</v>
      </c>
    </row>
    <row r="532" spans="1:13" x14ac:dyDescent="0.3">
      <c r="A532" s="1" t="s">
        <v>589</v>
      </c>
      <c r="B532" s="2">
        <v>45084</v>
      </c>
      <c r="C532" s="1" t="s">
        <v>38</v>
      </c>
      <c r="D532" s="1" t="s">
        <v>39</v>
      </c>
      <c r="E532" s="1" t="s">
        <v>12</v>
      </c>
      <c r="F532" s="1" t="s">
        <v>13</v>
      </c>
      <c r="G532" s="1" t="s">
        <v>40</v>
      </c>
      <c r="H532">
        <v>23319</v>
      </c>
      <c r="I532">
        <v>9</v>
      </c>
      <c r="J532">
        <v>2023</v>
      </c>
      <c r="K532" s="1" t="s">
        <v>863</v>
      </c>
      <c r="L532">
        <v>6</v>
      </c>
      <c r="M532" s="1">
        <v>209871</v>
      </c>
    </row>
    <row r="533" spans="1:13" x14ac:dyDescent="0.3">
      <c r="A533" s="1" t="s">
        <v>590</v>
      </c>
      <c r="B533" s="2">
        <v>44949</v>
      </c>
      <c r="C533" s="1" t="s">
        <v>123</v>
      </c>
      <c r="D533" s="1" t="s">
        <v>124</v>
      </c>
      <c r="E533" s="1" t="s">
        <v>29</v>
      </c>
      <c r="F533" s="1" t="s">
        <v>25</v>
      </c>
      <c r="G533" s="1" t="s">
        <v>40</v>
      </c>
      <c r="H533">
        <v>37424</v>
      </c>
      <c r="I533">
        <v>8</v>
      </c>
      <c r="J533">
        <v>2023</v>
      </c>
      <c r="K533" s="1" t="s">
        <v>868</v>
      </c>
      <c r="L533">
        <v>1</v>
      </c>
      <c r="M533" s="1">
        <v>299392</v>
      </c>
    </row>
    <row r="534" spans="1:13" x14ac:dyDescent="0.3">
      <c r="A534" s="1" t="s">
        <v>591</v>
      </c>
      <c r="B534" s="2">
        <v>45030</v>
      </c>
      <c r="C534" s="1" t="s">
        <v>20</v>
      </c>
      <c r="D534" s="1" t="s">
        <v>21</v>
      </c>
      <c r="E534" s="1" t="s">
        <v>29</v>
      </c>
      <c r="F534" s="1" t="s">
        <v>22</v>
      </c>
      <c r="G534" s="1" t="s">
        <v>23</v>
      </c>
      <c r="H534">
        <v>3449</v>
      </c>
      <c r="I534">
        <v>1</v>
      </c>
      <c r="J534">
        <v>2023</v>
      </c>
      <c r="K534" s="1" t="s">
        <v>867</v>
      </c>
      <c r="L534">
        <v>4</v>
      </c>
      <c r="M534" s="1">
        <v>3449</v>
      </c>
    </row>
    <row r="535" spans="1:13" x14ac:dyDescent="0.3">
      <c r="A535" s="1" t="s">
        <v>592</v>
      </c>
      <c r="B535" s="2">
        <v>45179</v>
      </c>
      <c r="C535" s="1" t="s">
        <v>67</v>
      </c>
      <c r="D535" s="1" t="s">
        <v>68</v>
      </c>
      <c r="E535" s="1" t="s">
        <v>12</v>
      </c>
      <c r="F535" s="1" t="s">
        <v>13</v>
      </c>
      <c r="G535" s="1" t="s">
        <v>14</v>
      </c>
      <c r="H535">
        <v>36765</v>
      </c>
      <c r="I535">
        <v>9</v>
      </c>
      <c r="J535">
        <v>2023</v>
      </c>
      <c r="K535" s="1" t="s">
        <v>866</v>
      </c>
      <c r="L535">
        <v>9</v>
      </c>
      <c r="M535" s="1">
        <v>330885</v>
      </c>
    </row>
    <row r="536" spans="1:13" x14ac:dyDescent="0.3">
      <c r="A536" s="1" t="s">
        <v>593</v>
      </c>
      <c r="B536" s="2">
        <v>44983</v>
      </c>
      <c r="C536" s="1" t="s">
        <v>89</v>
      </c>
      <c r="D536" s="1" t="s">
        <v>90</v>
      </c>
      <c r="E536" s="1" t="s">
        <v>29</v>
      </c>
      <c r="F536" s="1" t="s">
        <v>13</v>
      </c>
      <c r="G536" s="1" t="s">
        <v>14</v>
      </c>
      <c r="H536">
        <v>3864</v>
      </c>
      <c r="I536">
        <v>1</v>
      </c>
      <c r="J536">
        <v>2023</v>
      </c>
      <c r="K536" s="1" t="s">
        <v>871</v>
      </c>
      <c r="L536">
        <v>2</v>
      </c>
      <c r="M536" s="1">
        <v>3864</v>
      </c>
    </row>
    <row r="537" spans="1:13" x14ac:dyDescent="0.3">
      <c r="A537" s="1" t="s">
        <v>594</v>
      </c>
      <c r="B537" s="2">
        <v>45226</v>
      </c>
      <c r="C537" s="1" t="s">
        <v>123</v>
      </c>
      <c r="D537" s="1" t="s">
        <v>124</v>
      </c>
      <c r="E537" s="1" t="s">
        <v>29</v>
      </c>
      <c r="F537" s="1" t="s">
        <v>22</v>
      </c>
      <c r="G537" s="1" t="s">
        <v>40</v>
      </c>
      <c r="H537">
        <v>3508</v>
      </c>
      <c r="I537">
        <v>1</v>
      </c>
      <c r="J537">
        <v>2023</v>
      </c>
      <c r="K537" s="1" t="s">
        <v>865</v>
      </c>
      <c r="L537">
        <v>10</v>
      </c>
      <c r="M537" s="1">
        <v>3508</v>
      </c>
    </row>
    <row r="538" spans="1:13" x14ac:dyDescent="0.3">
      <c r="A538" s="1" t="s">
        <v>595</v>
      </c>
      <c r="B538" s="2">
        <v>45199</v>
      </c>
      <c r="C538" s="1" t="s">
        <v>10</v>
      </c>
      <c r="D538" s="1" t="s">
        <v>11</v>
      </c>
      <c r="E538" s="1" t="s">
        <v>12</v>
      </c>
      <c r="F538" s="1" t="s">
        <v>13</v>
      </c>
      <c r="G538" s="1" t="s">
        <v>40</v>
      </c>
      <c r="H538">
        <v>19784</v>
      </c>
      <c r="I538">
        <v>4</v>
      </c>
      <c r="J538">
        <v>2023</v>
      </c>
      <c r="K538" s="1" t="s">
        <v>866</v>
      </c>
      <c r="L538">
        <v>9</v>
      </c>
      <c r="M538" s="1">
        <v>79136</v>
      </c>
    </row>
    <row r="539" spans="1:13" x14ac:dyDescent="0.3">
      <c r="A539" s="1" t="s">
        <v>596</v>
      </c>
      <c r="B539" s="2">
        <v>44936</v>
      </c>
      <c r="C539" s="1" t="s">
        <v>77</v>
      </c>
      <c r="D539" s="1" t="s">
        <v>78</v>
      </c>
      <c r="E539" s="1" t="s">
        <v>29</v>
      </c>
      <c r="F539" s="1" t="s">
        <v>18</v>
      </c>
      <c r="G539" s="1" t="s">
        <v>40</v>
      </c>
      <c r="H539">
        <v>22440</v>
      </c>
      <c r="I539">
        <v>6</v>
      </c>
      <c r="J539">
        <v>2023</v>
      </c>
      <c r="K539" s="1" t="s">
        <v>868</v>
      </c>
      <c r="L539">
        <v>1</v>
      </c>
      <c r="M539" s="1">
        <v>134640</v>
      </c>
    </row>
    <row r="540" spans="1:13" x14ac:dyDescent="0.3">
      <c r="A540" s="1" t="s">
        <v>597</v>
      </c>
      <c r="B540" s="2">
        <v>45125</v>
      </c>
      <c r="C540" s="1" t="s">
        <v>67</v>
      </c>
      <c r="D540" s="1" t="s">
        <v>68</v>
      </c>
      <c r="E540" s="1" t="s">
        <v>12</v>
      </c>
      <c r="F540" s="1" t="s">
        <v>18</v>
      </c>
      <c r="G540" s="1" t="s">
        <v>40</v>
      </c>
      <c r="H540">
        <v>24857</v>
      </c>
      <c r="I540">
        <v>7</v>
      </c>
      <c r="J540">
        <v>2023</v>
      </c>
      <c r="K540" s="1" t="s">
        <v>864</v>
      </c>
      <c r="L540">
        <v>7</v>
      </c>
      <c r="M540" s="1">
        <v>173999</v>
      </c>
    </row>
    <row r="541" spans="1:13" x14ac:dyDescent="0.3">
      <c r="A541" s="1" t="s">
        <v>598</v>
      </c>
      <c r="B541" s="2">
        <v>45055</v>
      </c>
      <c r="C541" s="1" t="s">
        <v>43</v>
      </c>
      <c r="D541" s="1" t="s">
        <v>44</v>
      </c>
      <c r="E541" s="1" t="s">
        <v>12</v>
      </c>
      <c r="F541" s="1" t="s">
        <v>25</v>
      </c>
      <c r="G541" s="1" t="s">
        <v>40</v>
      </c>
      <c r="H541">
        <v>9710</v>
      </c>
      <c r="I541">
        <v>2</v>
      </c>
      <c r="J541">
        <v>2023</v>
      </c>
      <c r="K541" s="1" t="s">
        <v>872</v>
      </c>
      <c r="L541">
        <v>5</v>
      </c>
      <c r="M541" s="1">
        <v>19420</v>
      </c>
    </row>
    <row r="542" spans="1:13" x14ac:dyDescent="0.3">
      <c r="A542" s="1" t="s">
        <v>599</v>
      </c>
      <c r="B542" s="2">
        <v>45291</v>
      </c>
      <c r="C542" s="1" t="s">
        <v>67</v>
      </c>
      <c r="D542" s="1" t="s">
        <v>68</v>
      </c>
      <c r="E542" s="1" t="s">
        <v>29</v>
      </c>
      <c r="F542" s="1" t="s">
        <v>25</v>
      </c>
      <c r="G542" s="1" t="s">
        <v>40</v>
      </c>
      <c r="H542">
        <v>17940</v>
      </c>
      <c r="I542">
        <v>4</v>
      </c>
      <c r="J542">
        <v>2023</v>
      </c>
      <c r="K542" s="1" t="s">
        <v>869</v>
      </c>
      <c r="L542">
        <v>12</v>
      </c>
      <c r="M542" s="1">
        <v>71760</v>
      </c>
    </row>
    <row r="543" spans="1:13" x14ac:dyDescent="0.3">
      <c r="A543" s="1" t="s">
        <v>600</v>
      </c>
      <c r="B543" s="2">
        <v>45220</v>
      </c>
      <c r="C543" s="1" t="s">
        <v>109</v>
      </c>
      <c r="D543" s="1" t="s">
        <v>110</v>
      </c>
      <c r="E543" s="1" t="s">
        <v>12</v>
      </c>
      <c r="F543" s="1" t="s">
        <v>18</v>
      </c>
      <c r="G543" s="1" t="s">
        <v>23</v>
      </c>
      <c r="H543">
        <v>9982</v>
      </c>
      <c r="I543">
        <v>2</v>
      </c>
      <c r="J543">
        <v>2023</v>
      </c>
      <c r="K543" s="1" t="s">
        <v>865</v>
      </c>
      <c r="L543">
        <v>10</v>
      </c>
      <c r="M543" s="1">
        <v>19964</v>
      </c>
    </row>
    <row r="544" spans="1:13" x14ac:dyDescent="0.3">
      <c r="A544" s="1" t="s">
        <v>601</v>
      </c>
      <c r="B544" s="2">
        <v>45054</v>
      </c>
      <c r="C544" s="1" t="s">
        <v>38</v>
      </c>
      <c r="D544" s="1" t="s">
        <v>39</v>
      </c>
      <c r="E544" s="1" t="s">
        <v>29</v>
      </c>
      <c r="F544" s="1" t="s">
        <v>13</v>
      </c>
      <c r="G544" s="1" t="s">
        <v>40</v>
      </c>
      <c r="H544">
        <v>16475</v>
      </c>
      <c r="I544">
        <v>5</v>
      </c>
      <c r="J544">
        <v>2023</v>
      </c>
      <c r="K544" s="1" t="s">
        <v>872</v>
      </c>
      <c r="L544">
        <v>5</v>
      </c>
      <c r="M544" s="1">
        <v>82375</v>
      </c>
    </row>
    <row r="545" spans="1:13" x14ac:dyDescent="0.3">
      <c r="A545" s="1" t="s">
        <v>602</v>
      </c>
      <c r="B545" s="2">
        <v>45090</v>
      </c>
      <c r="C545" s="1" t="s">
        <v>137</v>
      </c>
      <c r="D545" s="1" t="s">
        <v>138</v>
      </c>
      <c r="E545" s="1" t="s">
        <v>36</v>
      </c>
      <c r="F545" s="1" t="s">
        <v>18</v>
      </c>
      <c r="G545" s="1" t="s">
        <v>14</v>
      </c>
      <c r="H545">
        <v>22200</v>
      </c>
      <c r="I545">
        <v>10</v>
      </c>
      <c r="J545">
        <v>2023</v>
      </c>
      <c r="K545" s="1" t="s">
        <v>863</v>
      </c>
      <c r="L545">
        <v>6</v>
      </c>
      <c r="M545" s="1">
        <v>222000</v>
      </c>
    </row>
    <row r="546" spans="1:13" x14ac:dyDescent="0.3">
      <c r="A546" s="1" t="s">
        <v>603</v>
      </c>
      <c r="B546" s="2">
        <v>45195</v>
      </c>
      <c r="C546" s="1" t="s">
        <v>10</v>
      </c>
      <c r="D546" s="1" t="s">
        <v>11</v>
      </c>
      <c r="E546" s="1" t="s">
        <v>36</v>
      </c>
      <c r="F546" s="1" t="s">
        <v>25</v>
      </c>
      <c r="G546" s="1" t="s">
        <v>23</v>
      </c>
      <c r="H546">
        <v>9270</v>
      </c>
      <c r="I546">
        <v>5</v>
      </c>
      <c r="J546">
        <v>2023</v>
      </c>
      <c r="K546" s="1" t="s">
        <v>866</v>
      </c>
      <c r="L546">
        <v>9</v>
      </c>
      <c r="M546" s="1">
        <v>46350</v>
      </c>
    </row>
    <row r="547" spans="1:13" x14ac:dyDescent="0.3">
      <c r="A547" s="1" t="s">
        <v>604</v>
      </c>
      <c r="B547" s="2">
        <v>45040</v>
      </c>
      <c r="C547" s="1" t="s">
        <v>137</v>
      </c>
      <c r="D547" s="1" t="s">
        <v>138</v>
      </c>
      <c r="E547" s="1" t="s">
        <v>12</v>
      </c>
      <c r="F547" s="1" t="s">
        <v>13</v>
      </c>
      <c r="G547" s="1" t="s">
        <v>23</v>
      </c>
      <c r="H547">
        <v>23748</v>
      </c>
      <c r="I547">
        <v>6</v>
      </c>
      <c r="J547">
        <v>2023</v>
      </c>
      <c r="K547" s="1" t="s">
        <v>867</v>
      </c>
      <c r="L547">
        <v>4</v>
      </c>
      <c r="M547" s="1">
        <v>142488</v>
      </c>
    </row>
    <row r="548" spans="1:13" x14ac:dyDescent="0.3">
      <c r="A548" s="1" t="s">
        <v>605</v>
      </c>
      <c r="B548" s="2">
        <v>44964</v>
      </c>
      <c r="C548" s="1" t="s">
        <v>64</v>
      </c>
      <c r="D548" s="1" t="s">
        <v>65</v>
      </c>
      <c r="E548" s="1" t="s">
        <v>29</v>
      </c>
      <c r="F548" s="1" t="s">
        <v>22</v>
      </c>
      <c r="G548" s="1" t="s">
        <v>40</v>
      </c>
      <c r="H548">
        <v>19768</v>
      </c>
      <c r="I548">
        <v>4</v>
      </c>
      <c r="J548">
        <v>2023</v>
      </c>
      <c r="K548" s="1" t="s">
        <v>871</v>
      </c>
      <c r="L548">
        <v>2</v>
      </c>
      <c r="M548" s="1">
        <v>79072</v>
      </c>
    </row>
    <row r="549" spans="1:13" x14ac:dyDescent="0.3">
      <c r="A549" s="1" t="s">
        <v>606</v>
      </c>
      <c r="B549" s="2">
        <v>45180</v>
      </c>
      <c r="C549" s="1" t="s">
        <v>64</v>
      </c>
      <c r="D549" s="1" t="s">
        <v>65</v>
      </c>
      <c r="E549" s="1" t="s">
        <v>36</v>
      </c>
      <c r="F549" s="1" t="s">
        <v>13</v>
      </c>
      <c r="G549" s="1" t="s">
        <v>40</v>
      </c>
      <c r="H549">
        <v>16950</v>
      </c>
      <c r="I549">
        <v>6</v>
      </c>
      <c r="J549">
        <v>2023</v>
      </c>
      <c r="K549" s="1" t="s">
        <v>866</v>
      </c>
      <c r="L549">
        <v>9</v>
      </c>
      <c r="M549" s="1">
        <v>101700</v>
      </c>
    </row>
    <row r="550" spans="1:13" x14ac:dyDescent="0.3">
      <c r="A550" s="1" t="s">
        <v>607</v>
      </c>
      <c r="B550" s="2">
        <v>45099</v>
      </c>
      <c r="C550" s="1" t="s">
        <v>43</v>
      </c>
      <c r="D550" s="1" t="s">
        <v>44</v>
      </c>
      <c r="E550" s="1" t="s">
        <v>36</v>
      </c>
      <c r="F550" s="1" t="s">
        <v>25</v>
      </c>
      <c r="G550" s="1" t="s">
        <v>14</v>
      </c>
      <c r="H550">
        <v>8841</v>
      </c>
      <c r="I550">
        <v>3</v>
      </c>
      <c r="J550">
        <v>2023</v>
      </c>
      <c r="K550" s="1" t="s">
        <v>863</v>
      </c>
      <c r="L550">
        <v>6</v>
      </c>
      <c r="M550" s="1">
        <v>26523</v>
      </c>
    </row>
    <row r="551" spans="1:13" x14ac:dyDescent="0.3">
      <c r="A551" s="1" t="s">
        <v>608</v>
      </c>
      <c r="B551" s="2">
        <v>45030</v>
      </c>
      <c r="C551" s="1" t="s">
        <v>64</v>
      </c>
      <c r="D551" s="1" t="s">
        <v>65</v>
      </c>
      <c r="E551" s="1" t="s">
        <v>29</v>
      </c>
      <c r="F551" s="1" t="s">
        <v>25</v>
      </c>
      <c r="G551" s="1" t="s">
        <v>14</v>
      </c>
      <c r="H551">
        <v>4952</v>
      </c>
      <c r="I551">
        <v>1</v>
      </c>
      <c r="J551">
        <v>2023</v>
      </c>
      <c r="K551" s="1" t="s">
        <v>867</v>
      </c>
      <c r="L551">
        <v>4</v>
      </c>
      <c r="M551" s="1">
        <v>4952</v>
      </c>
    </row>
    <row r="552" spans="1:13" x14ac:dyDescent="0.3">
      <c r="A552" s="1" t="s">
        <v>609</v>
      </c>
      <c r="B552" s="2">
        <v>45252</v>
      </c>
      <c r="C552" s="1" t="s">
        <v>64</v>
      </c>
      <c r="D552" s="1" t="s">
        <v>65</v>
      </c>
      <c r="E552" s="1" t="s">
        <v>36</v>
      </c>
      <c r="F552" s="1" t="s">
        <v>22</v>
      </c>
      <c r="G552" s="1" t="s">
        <v>23</v>
      </c>
      <c r="H552">
        <v>19096</v>
      </c>
      <c r="I552">
        <v>7</v>
      </c>
      <c r="J552">
        <v>2023</v>
      </c>
      <c r="K552" s="1" t="s">
        <v>873</v>
      </c>
      <c r="L552">
        <v>11</v>
      </c>
      <c r="M552" s="1">
        <v>133672</v>
      </c>
    </row>
    <row r="553" spans="1:13" x14ac:dyDescent="0.3">
      <c r="A553" s="1" t="s">
        <v>610</v>
      </c>
      <c r="B553" s="2">
        <v>45016</v>
      </c>
      <c r="C553" s="1" t="s">
        <v>64</v>
      </c>
      <c r="D553" s="1" t="s">
        <v>65</v>
      </c>
      <c r="E553" s="1" t="s">
        <v>36</v>
      </c>
      <c r="F553" s="1" t="s">
        <v>25</v>
      </c>
      <c r="G553" s="1" t="s">
        <v>23</v>
      </c>
      <c r="H553">
        <v>39856</v>
      </c>
      <c r="I553">
        <v>8</v>
      </c>
      <c r="J553">
        <v>2023</v>
      </c>
      <c r="K553" s="1" t="s">
        <v>870</v>
      </c>
      <c r="L553">
        <v>3</v>
      </c>
      <c r="M553" s="1">
        <v>318848</v>
      </c>
    </row>
    <row r="554" spans="1:13" x14ac:dyDescent="0.3">
      <c r="A554" s="1" t="s">
        <v>611</v>
      </c>
      <c r="B554" s="2">
        <v>45110</v>
      </c>
      <c r="C554" s="1" t="s">
        <v>137</v>
      </c>
      <c r="D554" s="1" t="s">
        <v>138</v>
      </c>
      <c r="E554" s="1" t="s">
        <v>29</v>
      </c>
      <c r="F554" s="1" t="s">
        <v>13</v>
      </c>
      <c r="G554" s="1" t="s">
        <v>23</v>
      </c>
      <c r="H554">
        <v>27013</v>
      </c>
      <c r="I554">
        <v>7</v>
      </c>
      <c r="J554">
        <v>2023</v>
      </c>
      <c r="K554" s="1" t="s">
        <v>864</v>
      </c>
      <c r="L554">
        <v>7</v>
      </c>
      <c r="M554" s="1">
        <v>189091</v>
      </c>
    </row>
    <row r="555" spans="1:13" x14ac:dyDescent="0.3">
      <c r="A555" s="1" t="s">
        <v>612</v>
      </c>
      <c r="B555" s="2">
        <v>45269</v>
      </c>
      <c r="C555" s="1" t="s">
        <v>20</v>
      </c>
      <c r="D555" s="1" t="s">
        <v>21</v>
      </c>
      <c r="E555" s="1" t="s">
        <v>29</v>
      </c>
      <c r="F555" s="1" t="s">
        <v>18</v>
      </c>
      <c r="G555" s="1" t="s">
        <v>14</v>
      </c>
      <c r="H555">
        <v>14934</v>
      </c>
      <c r="I555">
        <v>6</v>
      </c>
      <c r="J555">
        <v>2023</v>
      </c>
      <c r="K555" s="1" t="s">
        <v>869</v>
      </c>
      <c r="L555">
        <v>12</v>
      </c>
      <c r="M555" s="1">
        <v>89604</v>
      </c>
    </row>
    <row r="556" spans="1:13" x14ac:dyDescent="0.3">
      <c r="A556" s="1" t="s">
        <v>613</v>
      </c>
      <c r="B556" s="2">
        <v>45110</v>
      </c>
      <c r="C556" s="1" t="s">
        <v>16</v>
      </c>
      <c r="D556" s="1" t="s">
        <v>17</v>
      </c>
      <c r="E556" s="1" t="s">
        <v>36</v>
      </c>
      <c r="F556" s="1" t="s">
        <v>13</v>
      </c>
      <c r="G556" s="1" t="s">
        <v>23</v>
      </c>
      <c r="H556">
        <v>13734</v>
      </c>
      <c r="I556">
        <v>7</v>
      </c>
      <c r="J556">
        <v>2023</v>
      </c>
      <c r="K556" s="1" t="s">
        <v>864</v>
      </c>
      <c r="L556">
        <v>7</v>
      </c>
      <c r="M556" s="1">
        <v>96138</v>
      </c>
    </row>
    <row r="557" spans="1:13" x14ac:dyDescent="0.3">
      <c r="A557" s="1" t="s">
        <v>614</v>
      </c>
      <c r="B557" s="2">
        <v>45181</v>
      </c>
      <c r="C557" s="1" t="s">
        <v>67</v>
      </c>
      <c r="D557" s="1" t="s">
        <v>68</v>
      </c>
      <c r="E557" s="1" t="s">
        <v>12</v>
      </c>
      <c r="F557" s="1" t="s">
        <v>13</v>
      </c>
      <c r="G557" s="1" t="s">
        <v>23</v>
      </c>
      <c r="H557">
        <v>15370</v>
      </c>
      <c r="I557">
        <v>10</v>
      </c>
      <c r="J557">
        <v>2023</v>
      </c>
      <c r="K557" s="1" t="s">
        <v>866</v>
      </c>
      <c r="L557">
        <v>9</v>
      </c>
      <c r="M557" s="1">
        <v>153700</v>
      </c>
    </row>
    <row r="558" spans="1:13" x14ac:dyDescent="0.3">
      <c r="A558" s="1" t="s">
        <v>615</v>
      </c>
      <c r="B558" s="2">
        <v>45225</v>
      </c>
      <c r="C558" s="1" t="s">
        <v>109</v>
      </c>
      <c r="D558" s="1" t="s">
        <v>110</v>
      </c>
      <c r="E558" s="1" t="s">
        <v>36</v>
      </c>
      <c r="F558" s="1" t="s">
        <v>18</v>
      </c>
      <c r="G558" s="1" t="s">
        <v>14</v>
      </c>
      <c r="H558">
        <v>10770</v>
      </c>
      <c r="I558">
        <v>5</v>
      </c>
      <c r="J558">
        <v>2023</v>
      </c>
      <c r="K558" s="1" t="s">
        <v>865</v>
      </c>
      <c r="L558">
        <v>10</v>
      </c>
      <c r="M558" s="1">
        <v>53850</v>
      </c>
    </row>
    <row r="559" spans="1:13" x14ac:dyDescent="0.3">
      <c r="A559" s="1" t="s">
        <v>616</v>
      </c>
      <c r="B559" s="2">
        <v>45239</v>
      </c>
      <c r="C559" s="1" t="s">
        <v>67</v>
      </c>
      <c r="D559" s="1" t="s">
        <v>68</v>
      </c>
      <c r="E559" s="1" t="s">
        <v>29</v>
      </c>
      <c r="F559" s="1" t="s">
        <v>25</v>
      </c>
      <c r="G559" s="1" t="s">
        <v>23</v>
      </c>
      <c r="H559">
        <v>19590</v>
      </c>
      <c r="I559">
        <v>6</v>
      </c>
      <c r="J559">
        <v>2023</v>
      </c>
      <c r="K559" s="1" t="s">
        <v>873</v>
      </c>
      <c r="L559">
        <v>11</v>
      </c>
      <c r="M559" s="1">
        <v>117540</v>
      </c>
    </row>
    <row r="560" spans="1:13" x14ac:dyDescent="0.3">
      <c r="A560" s="1" t="s">
        <v>617</v>
      </c>
      <c r="B560" s="2">
        <v>45195</v>
      </c>
      <c r="C560" s="1" t="s">
        <v>31</v>
      </c>
      <c r="D560" s="1" t="s">
        <v>32</v>
      </c>
      <c r="E560" s="1" t="s">
        <v>29</v>
      </c>
      <c r="F560" s="1" t="s">
        <v>13</v>
      </c>
      <c r="G560" s="1" t="s">
        <v>40</v>
      </c>
      <c r="H560">
        <v>14628</v>
      </c>
      <c r="I560">
        <v>6</v>
      </c>
      <c r="J560">
        <v>2023</v>
      </c>
      <c r="K560" s="1" t="s">
        <v>866</v>
      </c>
      <c r="L560">
        <v>9</v>
      </c>
      <c r="M560" s="1">
        <v>87768</v>
      </c>
    </row>
    <row r="561" spans="1:13" x14ac:dyDescent="0.3">
      <c r="A561" s="1" t="s">
        <v>618</v>
      </c>
      <c r="B561" s="2">
        <v>45207</v>
      </c>
      <c r="C561" s="1" t="s">
        <v>50</v>
      </c>
      <c r="D561" s="1" t="s">
        <v>51</v>
      </c>
      <c r="E561" s="1" t="s">
        <v>29</v>
      </c>
      <c r="F561" s="1" t="s">
        <v>13</v>
      </c>
      <c r="G561" s="1" t="s">
        <v>23</v>
      </c>
      <c r="H561">
        <v>10161</v>
      </c>
      <c r="I561">
        <v>9</v>
      </c>
      <c r="J561">
        <v>2023</v>
      </c>
      <c r="K561" s="1" t="s">
        <v>865</v>
      </c>
      <c r="L561">
        <v>10</v>
      </c>
      <c r="M561" s="1">
        <v>91449</v>
      </c>
    </row>
    <row r="562" spans="1:13" x14ac:dyDescent="0.3">
      <c r="A562" s="1" t="s">
        <v>619</v>
      </c>
      <c r="B562" s="2">
        <v>45058</v>
      </c>
      <c r="C562" s="1" t="s">
        <v>27</v>
      </c>
      <c r="D562" s="1" t="s">
        <v>28</v>
      </c>
      <c r="E562" s="1" t="s">
        <v>36</v>
      </c>
      <c r="F562" s="1" t="s">
        <v>25</v>
      </c>
      <c r="G562" s="1" t="s">
        <v>23</v>
      </c>
      <c r="H562">
        <v>13928</v>
      </c>
      <c r="I562">
        <v>8</v>
      </c>
      <c r="J562">
        <v>2023</v>
      </c>
      <c r="K562" s="1" t="s">
        <v>872</v>
      </c>
      <c r="L562">
        <v>5</v>
      </c>
      <c r="M562" s="1">
        <v>111424</v>
      </c>
    </row>
    <row r="563" spans="1:13" x14ac:dyDescent="0.3">
      <c r="A563" s="1" t="s">
        <v>620</v>
      </c>
      <c r="B563" s="2">
        <v>45104</v>
      </c>
      <c r="C563" s="1" t="s">
        <v>31</v>
      </c>
      <c r="D563" s="1" t="s">
        <v>32</v>
      </c>
      <c r="E563" s="1" t="s">
        <v>29</v>
      </c>
      <c r="F563" s="1" t="s">
        <v>18</v>
      </c>
      <c r="G563" s="1" t="s">
        <v>14</v>
      </c>
      <c r="H563">
        <v>8256</v>
      </c>
      <c r="I563">
        <v>2</v>
      </c>
      <c r="J563">
        <v>2023</v>
      </c>
      <c r="K563" s="1" t="s">
        <v>863</v>
      </c>
      <c r="L563">
        <v>6</v>
      </c>
      <c r="M563" s="1">
        <v>16512</v>
      </c>
    </row>
    <row r="564" spans="1:13" x14ac:dyDescent="0.3">
      <c r="A564" s="1" t="s">
        <v>621</v>
      </c>
      <c r="B564" s="2">
        <v>45232</v>
      </c>
      <c r="C564" s="1" t="s">
        <v>34</v>
      </c>
      <c r="D564" s="1" t="s">
        <v>35</v>
      </c>
      <c r="E564" s="1" t="s">
        <v>36</v>
      </c>
      <c r="F564" s="1" t="s">
        <v>25</v>
      </c>
      <c r="G564" s="1" t="s">
        <v>14</v>
      </c>
      <c r="H564">
        <v>13230</v>
      </c>
      <c r="I564">
        <v>10</v>
      </c>
      <c r="J564">
        <v>2023</v>
      </c>
      <c r="K564" s="1" t="s">
        <v>873</v>
      </c>
      <c r="L564">
        <v>11</v>
      </c>
      <c r="M564" s="1">
        <v>132300</v>
      </c>
    </row>
    <row r="565" spans="1:13" x14ac:dyDescent="0.3">
      <c r="A565" s="1" t="s">
        <v>622</v>
      </c>
      <c r="B565" s="2">
        <v>44967</v>
      </c>
      <c r="C565" s="1" t="s">
        <v>61</v>
      </c>
      <c r="D565" s="1" t="s">
        <v>62</v>
      </c>
      <c r="E565" s="1" t="s">
        <v>12</v>
      </c>
      <c r="F565" s="1" t="s">
        <v>22</v>
      </c>
      <c r="G565" s="1" t="s">
        <v>23</v>
      </c>
      <c r="H565">
        <v>3428</v>
      </c>
      <c r="I565">
        <v>4</v>
      </c>
      <c r="J565">
        <v>2023</v>
      </c>
      <c r="K565" s="1" t="s">
        <v>871</v>
      </c>
      <c r="L565">
        <v>2</v>
      </c>
      <c r="M565" s="1">
        <v>13712</v>
      </c>
    </row>
    <row r="566" spans="1:13" x14ac:dyDescent="0.3">
      <c r="A566" s="1" t="s">
        <v>623</v>
      </c>
      <c r="B566" s="2">
        <v>45057</v>
      </c>
      <c r="C566" s="1" t="s">
        <v>50</v>
      </c>
      <c r="D566" s="1" t="s">
        <v>51</v>
      </c>
      <c r="E566" s="1" t="s">
        <v>12</v>
      </c>
      <c r="F566" s="1" t="s">
        <v>18</v>
      </c>
      <c r="G566" s="1" t="s">
        <v>14</v>
      </c>
      <c r="H566">
        <v>8695</v>
      </c>
      <c r="I566">
        <v>5</v>
      </c>
      <c r="J566">
        <v>2023</v>
      </c>
      <c r="K566" s="1" t="s">
        <v>872</v>
      </c>
      <c r="L566">
        <v>5</v>
      </c>
      <c r="M566" s="1">
        <v>43475</v>
      </c>
    </row>
    <row r="567" spans="1:13" x14ac:dyDescent="0.3">
      <c r="A567" s="1" t="s">
        <v>624</v>
      </c>
      <c r="B567" s="2">
        <v>45235</v>
      </c>
      <c r="C567" s="1" t="s">
        <v>89</v>
      </c>
      <c r="D567" s="1" t="s">
        <v>90</v>
      </c>
      <c r="E567" s="1" t="s">
        <v>12</v>
      </c>
      <c r="F567" s="1" t="s">
        <v>22</v>
      </c>
      <c r="G567" s="1" t="s">
        <v>14</v>
      </c>
      <c r="H567">
        <v>10716</v>
      </c>
      <c r="I567">
        <v>4</v>
      </c>
      <c r="J567">
        <v>2023</v>
      </c>
      <c r="K567" s="1" t="s">
        <v>873</v>
      </c>
      <c r="L567">
        <v>11</v>
      </c>
      <c r="M567" s="1">
        <v>42864</v>
      </c>
    </row>
    <row r="568" spans="1:13" x14ac:dyDescent="0.3">
      <c r="A568" s="1" t="s">
        <v>625</v>
      </c>
      <c r="B568" s="2">
        <v>45266</v>
      </c>
      <c r="C568" s="1" t="s">
        <v>53</v>
      </c>
      <c r="D568" s="1" t="s">
        <v>54</v>
      </c>
      <c r="E568" s="1" t="s">
        <v>12</v>
      </c>
      <c r="F568" s="1" t="s">
        <v>25</v>
      </c>
      <c r="G568" s="1" t="s">
        <v>23</v>
      </c>
      <c r="H568">
        <v>10555</v>
      </c>
      <c r="I568">
        <v>5</v>
      </c>
      <c r="J568">
        <v>2023</v>
      </c>
      <c r="K568" s="1" t="s">
        <v>869</v>
      </c>
      <c r="L568">
        <v>12</v>
      </c>
      <c r="M568" s="1">
        <v>52775</v>
      </c>
    </row>
    <row r="569" spans="1:13" x14ac:dyDescent="0.3">
      <c r="A569" s="1" t="s">
        <v>626</v>
      </c>
      <c r="B569" s="2">
        <v>45127</v>
      </c>
      <c r="C569" s="1" t="s">
        <v>67</v>
      </c>
      <c r="D569" s="1" t="s">
        <v>68</v>
      </c>
      <c r="E569" s="1" t="s">
        <v>12</v>
      </c>
      <c r="F569" s="1" t="s">
        <v>22</v>
      </c>
      <c r="G569" s="1" t="s">
        <v>40</v>
      </c>
      <c r="H569">
        <v>27576</v>
      </c>
      <c r="I569">
        <v>9</v>
      </c>
      <c r="J569">
        <v>2023</v>
      </c>
      <c r="K569" s="1" t="s">
        <v>864</v>
      </c>
      <c r="L569">
        <v>7</v>
      </c>
      <c r="M569" s="1">
        <v>248184</v>
      </c>
    </row>
    <row r="570" spans="1:13" x14ac:dyDescent="0.3">
      <c r="A570" s="1" t="s">
        <v>627</v>
      </c>
      <c r="B570" s="2">
        <v>44990</v>
      </c>
      <c r="C570" s="1" t="s">
        <v>73</v>
      </c>
      <c r="D570" s="1" t="s">
        <v>74</v>
      </c>
      <c r="E570" s="1" t="s">
        <v>29</v>
      </c>
      <c r="F570" s="1" t="s">
        <v>25</v>
      </c>
      <c r="G570" s="1" t="s">
        <v>40</v>
      </c>
      <c r="H570">
        <v>30272</v>
      </c>
      <c r="I570">
        <v>8</v>
      </c>
      <c r="J570">
        <v>2023</v>
      </c>
      <c r="K570" s="1" t="s">
        <v>870</v>
      </c>
      <c r="L570">
        <v>3</v>
      </c>
      <c r="M570" s="1">
        <v>242176</v>
      </c>
    </row>
    <row r="571" spans="1:13" x14ac:dyDescent="0.3">
      <c r="A571" s="1" t="s">
        <v>628</v>
      </c>
      <c r="B571" s="2">
        <v>45090</v>
      </c>
      <c r="C571" s="1" t="s">
        <v>89</v>
      </c>
      <c r="D571" s="1" t="s">
        <v>90</v>
      </c>
      <c r="E571" s="1" t="s">
        <v>29</v>
      </c>
      <c r="F571" s="1" t="s">
        <v>13</v>
      </c>
      <c r="G571" s="1" t="s">
        <v>40</v>
      </c>
      <c r="H571">
        <v>19674</v>
      </c>
      <c r="I571">
        <v>6</v>
      </c>
      <c r="J571">
        <v>2023</v>
      </c>
      <c r="K571" s="1" t="s">
        <v>863</v>
      </c>
      <c r="L571">
        <v>6</v>
      </c>
      <c r="M571" s="1">
        <v>118044</v>
      </c>
    </row>
    <row r="572" spans="1:13" x14ac:dyDescent="0.3">
      <c r="A572" s="1" t="s">
        <v>629</v>
      </c>
      <c r="B572" s="2">
        <v>45195</v>
      </c>
      <c r="C572" s="1" t="s">
        <v>109</v>
      </c>
      <c r="D572" s="1" t="s">
        <v>110</v>
      </c>
      <c r="E572" s="1" t="s">
        <v>36</v>
      </c>
      <c r="F572" s="1" t="s">
        <v>13</v>
      </c>
      <c r="G572" s="1" t="s">
        <v>23</v>
      </c>
      <c r="H572">
        <v>41720</v>
      </c>
      <c r="I572">
        <v>10</v>
      </c>
      <c r="J572">
        <v>2023</v>
      </c>
      <c r="K572" s="1" t="s">
        <v>866</v>
      </c>
      <c r="L572">
        <v>9</v>
      </c>
      <c r="M572" s="1">
        <v>417200</v>
      </c>
    </row>
    <row r="573" spans="1:13" x14ac:dyDescent="0.3">
      <c r="A573" s="1" t="s">
        <v>630</v>
      </c>
      <c r="B573" s="2">
        <v>45280</v>
      </c>
      <c r="C573" s="1" t="s">
        <v>16</v>
      </c>
      <c r="D573" s="1" t="s">
        <v>17</v>
      </c>
      <c r="E573" s="1" t="s">
        <v>12</v>
      </c>
      <c r="F573" s="1" t="s">
        <v>13</v>
      </c>
      <c r="G573" s="1" t="s">
        <v>14</v>
      </c>
      <c r="H573">
        <v>8428</v>
      </c>
      <c r="I573">
        <v>2</v>
      </c>
      <c r="J573">
        <v>2023</v>
      </c>
      <c r="K573" s="1" t="s">
        <v>869</v>
      </c>
      <c r="L573">
        <v>12</v>
      </c>
      <c r="M573" s="1">
        <v>16856</v>
      </c>
    </row>
    <row r="574" spans="1:13" x14ac:dyDescent="0.3">
      <c r="A574" s="1" t="s">
        <v>631</v>
      </c>
      <c r="B574" s="2">
        <v>45061</v>
      </c>
      <c r="C574" s="1" t="s">
        <v>27</v>
      </c>
      <c r="D574" s="1" t="s">
        <v>28</v>
      </c>
      <c r="E574" s="1" t="s">
        <v>36</v>
      </c>
      <c r="F574" s="1" t="s">
        <v>25</v>
      </c>
      <c r="G574" s="1" t="s">
        <v>23</v>
      </c>
      <c r="H574">
        <v>17418</v>
      </c>
      <c r="I574">
        <v>6</v>
      </c>
      <c r="J574">
        <v>2023</v>
      </c>
      <c r="K574" s="1" t="s">
        <v>872</v>
      </c>
      <c r="L574">
        <v>5</v>
      </c>
      <c r="M574" s="1">
        <v>104508</v>
      </c>
    </row>
    <row r="575" spans="1:13" x14ac:dyDescent="0.3">
      <c r="A575" s="1" t="s">
        <v>632</v>
      </c>
      <c r="B575" s="2">
        <v>45154</v>
      </c>
      <c r="C575" s="1" t="s">
        <v>10</v>
      </c>
      <c r="D575" s="1" t="s">
        <v>11</v>
      </c>
      <c r="E575" s="1" t="s">
        <v>12</v>
      </c>
      <c r="F575" s="1" t="s">
        <v>22</v>
      </c>
      <c r="G575" s="1" t="s">
        <v>14</v>
      </c>
      <c r="H575">
        <v>8682</v>
      </c>
      <c r="I575">
        <v>2</v>
      </c>
      <c r="J575">
        <v>2023</v>
      </c>
      <c r="K575" s="1" t="s">
        <v>874</v>
      </c>
      <c r="L575">
        <v>8</v>
      </c>
      <c r="M575" s="1">
        <v>17364</v>
      </c>
    </row>
    <row r="576" spans="1:13" x14ac:dyDescent="0.3">
      <c r="A576" s="1" t="s">
        <v>633</v>
      </c>
      <c r="B576" s="2">
        <v>45157</v>
      </c>
      <c r="C576" s="1" t="s">
        <v>27</v>
      </c>
      <c r="D576" s="1" t="s">
        <v>28</v>
      </c>
      <c r="E576" s="1" t="s">
        <v>29</v>
      </c>
      <c r="F576" s="1" t="s">
        <v>18</v>
      </c>
      <c r="G576" s="1" t="s">
        <v>40</v>
      </c>
      <c r="H576">
        <v>4039</v>
      </c>
      <c r="I576">
        <v>1</v>
      </c>
      <c r="J576">
        <v>2023</v>
      </c>
      <c r="K576" s="1" t="s">
        <v>874</v>
      </c>
      <c r="L576">
        <v>8</v>
      </c>
      <c r="M576" s="1">
        <v>4039</v>
      </c>
    </row>
    <row r="577" spans="1:13" x14ac:dyDescent="0.3">
      <c r="A577" s="1" t="s">
        <v>634</v>
      </c>
      <c r="B577" s="2">
        <v>45171</v>
      </c>
      <c r="C577" s="1" t="s">
        <v>20</v>
      </c>
      <c r="D577" s="1" t="s">
        <v>21</v>
      </c>
      <c r="E577" s="1" t="s">
        <v>36</v>
      </c>
      <c r="F577" s="1" t="s">
        <v>22</v>
      </c>
      <c r="G577" s="1" t="s">
        <v>40</v>
      </c>
      <c r="H577">
        <v>12489</v>
      </c>
      <c r="I577">
        <v>3</v>
      </c>
      <c r="J577">
        <v>2023</v>
      </c>
      <c r="K577" s="1" t="s">
        <v>866</v>
      </c>
      <c r="L577">
        <v>9</v>
      </c>
      <c r="M577" s="1">
        <v>37467</v>
      </c>
    </row>
    <row r="578" spans="1:13" x14ac:dyDescent="0.3">
      <c r="A578" s="1" t="s">
        <v>635</v>
      </c>
      <c r="B578" s="2">
        <v>45291</v>
      </c>
      <c r="C578" s="1" t="s">
        <v>16</v>
      </c>
      <c r="D578" s="1" t="s">
        <v>17</v>
      </c>
      <c r="E578" s="1" t="s">
        <v>36</v>
      </c>
      <c r="F578" s="1" t="s">
        <v>22</v>
      </c>
      <c r="G578" s="1" t="s">
        <v>23</v>
      </c>
      <c r="H578">
        <v>33220</v>
      </c>
      <c r="I578">
        <v>10</v>
      </c>
      <c r="J578">
        <v>2023</v>
      </c>
      <c r="K578" s="1" t="s">
        <v>869</v>
      </c>
      <c r="L578">
        <v>12</v>
      </c>
      <c r="M578" s="1">
        <v>332200</v>
      </c>
    </row>
    <row r="579" spans="1:13" x14ac:dyDescent="0.3">
      <c r="A579" s="1" t="s">
        <v>636</v>
      </c>
      <c r="B579" s="2">
        <v>44939</v>
      </c>
      <c r="C579" s="1" t="s">
        <v>50</v>
      </c>
      <c r="D579" s="1" t="s">
        <v>51</v>
      </c>
      <c r="E579" s="1" t="s">
        <v>36</v>
      </c>
      <c r="F579" s="1" t="s">
        <v>25</v>
      </c>
      <c r="G579" s="1" t="s">
        <v>40</v>
      </c>
      <c r="H579">
        <v>13848</v>
      </c>
      <c r="I579">
        <v>8</v>
      </c>
      <c r="J579">
        <v>2023</v>
      </c>
      <c r="K579" s="1" t="s">
        <v>868</v>
      </c>
      <c r="L579">
        <v>1</v>
      </c>
      <c r="M579" s="1">
        <v>110784</v>
      </c>
    </row>
    <row r="580" spans="1:13" x14ac:dyDescent="0.3">
      <c r="A580" s="1" t="s">
        <v>637</v>
      </c>
      <c r="B580" s="2">
        <v>45230</v>
      </c>
      <c r="C580" s="1" t="s">
        <v>64</v>
      </c>
      <c r="D580" s="1" t="s">
        <v>65</v>
      </c>
      <c r="E580" s="1" t="s">
        <v>29</v>
      </c>
      <c r="F580" s="1" t="s">
        <v>18</v>
      </c>
      <c r="G580" s="1" t="s">
        <v>14</v>
      </c>
      <c r="H580">
        <v>16785</v>
      </c>
      <c r="I580">
        <v>9</v>
      </c>
      <c r="J580">
        <v>2023</v>
      </c>
      <c r="K580" s="1" t="s">
        <v>865</v>
      </c>
      <c r="L580">
        <v>10</v>
      </c>
      <c r="M580" s="1">
        <v>151065</v>
      </c>
    </row>
    <row r="581" spans="1:13" x14ac:dyDescent="0.3">
      <c r="A581" s="1" t="s">
        <v>638</v>
      </c>
      <c r="B581" s="2">
        <v>45184</v>
      </c>
      <c r="C581" s="1" t="s">
        <v>16</v>
      </c>
      <c r="D581" s="1" t="s">
        <v>17</v>
      </c>
      <c r="E581" s="1" t="s">
        <v>12</v>
      </c>
      <c r="F581" s="1" t="s">
        <v>22</v>
      </c>
      <c r="G581" s="1" t="s">
        <v>23</v>
      </c>
      <c r="H581">
        <v>21384</v>
      </c>
      <c r="I581">
        <v>9</v>
      </c>
      <c r="J581">
        <v>2023</v>
      </c>
      <c r="K581" s="1" t="s">
        <v>866</v>
      </c>
      <c r="L581">
        <v>9</v>
      </c>
      <c r="M581" s="1">
        <v>192456</v>
      </c>
    </row>
    <row r="582" spans="1:13" x14ac:dyDescent="0.3">
      <c r="A582" s="1" t="s">
        <v>639</v>
      </c>
      <c r="B582" s="2">
        <v>45214</v>
      </c>
      <c r="C582" s="1" t="s">
        <v>38</v>
      </c>
      <c r="D582" s="1" t="s">
        <v>39</v>
      </c>
      <c r="E582" s="1" t="s">
        <v>36</v>
      </c>
      <c r="F582" s="1" t="s">
        <v>22</v>
      </c>
      <c r="G582" s="1" t="s">
        <v>14</v>
      </c>
      <c r="H582">
        <v>23445</v>
      </c>
      <c r="I582">
        <v>5</v>
      </c>
      <c r="J582">
        <v>2023</v>
      </c>
      <c r="K582" s="1" t="s">
        <v>865</v>
      </c>
      <c r="L582">
        <v>10</v>
      </c>
      <c r="M582" s="1">
        <v>117225</v>
      </c>
    </row>
    <row r="583" spans="1:13" x14ac:dyDescent="0.3">
      <c r="A583" s="1" t="s">
        <v>640</v>
      </c>
      <c r="B583" s="2">
        <v>45035</v>
      </c>
      <c r="C583" s="1" t="s">
        <v>50</v>
      </c>
      <c r="D583" s="1" t="s">
        <v>51</v>
      </c>
      <c r="E583" s="1" t="s">
        <v>12</v>
      </c>
      <c r="F583" s="1" t="s">
        <v>25</v>
      </c>
      <c r="G583" s="1" t="s">
        <v>40</v>
      </c>
      <c r="H583">
        <v>13668</v>
      </c>
      <c r="I583">
        <v>6</v>
      </c>
      <c r="J583">
        <v>2023</v>
      </c>
      <c r="K583" s="1" t="s">
        <v>867</v>
      </c>
      <c r="L583">
        <v>4</v>
      </c>
      <c r="M583" s="1">
        <v>82008</v>
      </c>
    </row>
    <row r="584" spans="1:13" x14ac:dyDescent="0.3">
      <c r="A584" s="1" t="s">
        <v>641</v>
      </c>
      <c r="B584" s="2">
        <v>45204</v>
      </c>
      <c r="C584" s="1" t="s">
        <v>47</v>
      </c>
      <c r="D584" s="1" t="s">
        <v>48</v>
      </c>
      <c r="E584" s="1" t="s">
        <v>36</v>
      </c>
      <c r="F584" s="1" t="s">
        <v>22</v>
      </c>
      <c r="G584" s="1" t="s">
        <v>23</v>
      </c>
      <c r="H584">
        <v>24885</v>
      </c>
      <c r="I584">
        <v>9</v>
      </c>
      <c r="J584">
        <v>2023</v>
      </c>
      <c r="K584" s="1" t="s">
        <v>865</v>
      </c>
      <c r="L584">
        <v>10</v>
      </c>
      <c r="M584" s="1">
        <v>223965</v>
      </c>
    </row>
    <row r="585" spans="1:13" x14ac:dyDescent="0.3">
      <c r="A585" s="1" t="s">
        <v>642</v>
      </c>
      <c r="B585" s="2">
        <v>45001</v>
      </c>
      <c r="C585" s="1" t="s">
        <v>16</v>
      </c>
      <c r="D585" s="1" t="s">
        <v>17</v>
      </c>
      <c r="E585" s="1" t="s">
        <v>36</v>
      </c>
      <c r="F585" s="1" t="s">
        <v>22</v>
      </c>
      <c r="G585" s="1" t="s">
        <v>23</v>
      </c>
      <c r="H585">
        <v>22760</v>
      </c>
      <c r="I585">
        <v>5</v>
      </c>
      <c r="J585">
        <v>2023</v>
      </c>
      <c r="K585" s="1" t="s">
        <v>870</v>
      </c>
      <c r="L585">
        <v>3</v>
      </c>
      <c r="M585" s="1">
        <v>113800</v>
      </c>
    </row>
    <row r="586" spans="1:13" x14ac:dyDescent="0.3">
      <c r="A586" s="1" t="s">
        <v>643</v>
      </c>
      <c r="B586" s="2">
        <v>45035</v>
      </c>
      <c r="C586" s="1" t="s">
        <v>38</v>
      </c>
      <c r="D586" s="1" t="s">
        <v>39</v>
      </c>
      <c r="E586" s="1" t="s">
        <v>29</v>
      </c>
      <c r="F586" s="1" t="s">
        <v>13</v>
      </c>
      <c r="G586" s="1" t="s">
        <v>14</v>
      </c>
      <c r="H586">
        <v>21623</v>
      </c>
      <c r="I586">
        <v>7</v>
      </c>
      <c r="J586">
        <v>2023</v>
      </c>
      <c r="K586" s="1" t="s">
        <v>867</v>
      </c>
      <c r="L586">
        <v>4</v>
      </c>
      <c r="M586" s="1">
        <v>151361</v>
      </c>
    </row>
    <row r="587" spans="1:13" x14ac:dyDescent="0.3">
      <c r="A587" s="1" t="s">
        <v>644</v>
      </c>
      <c r="B587" s="2">
        <v>45073</v>
      </c>
      <c r="C587" s="1" t="s">
        <v>61</v>
      </c>
      <c r="D587" s="1" t="s">
        <v>62</v>
      </c>
      <c r="E587" s="1" t="s">
        <v>36</v>
      </c>
      <c r="F587" s="1" t="s">
        <v>25</v>
      </c>
      <c r="G587" s="1" t="s">
        <v>23</v>
      </c>
      <c r="H587">
        <v>18096</v>
      </c>
      <c r="I587">
        <v>4</v>
      </c>
      <c r="J587">
        <v>2023</v>
      </c>
      <c r="K587" s="1" t="s">
        <v>872</v>
      </c>
      <c r="L587">
        <v>5</v>
      </c>
      <c r="M587" s="1">
        <v>72384</v>
      </c>
    </row>
    <row r="588" spans="1:13" x14ac:dyDescent="0.3">
      <c r="A588" s="1" t="s">
        <v>645</v>
      </c>
      <c r="B588" s="2">
        <v>45061</v>
      </c>
      <c r="C588" s="1" t="s">
        <v>20</v>
      </c>
      <c r="D588" s="1" t="s">
        <v>21</v>
      </c>
      <c r="E588" s="1" t="s">
        <v>12</v>
      </c>
      <c r="F588" s="1" t="s">
        <v>22</v>
      </c>
      <c r="G588" s="1" t="s">
        <v>14</v>
      </c>
      <c r="H588">
        <v>24045</v>
      </c>
      <c r="I588">
        <v>5</v>
      </c>
      <c r="J588">
        <v>2023</v>
      </c>
      <c r="K588" s="1" t="s">
        <v>872</v>
      </c>
      <c r="L588">
        <v>5</v>
      </c>
      <c r="M588" s="1">
        <v>120225</v>
      </c>
    </row>
    <row r="589" spans="1:13" x14ac:dyDescent="0.3">
      <c r="A589" s="1" t="s">
        <v>646</v>
      </c>
      <c r="B589" s="2">
        <v>45254</v>
      </c>
      <c r="C589" s="1" t="s">
        <v>38</v>
      </c>
      <c r="D589" s="1" t="s">
        <v>39</v>
      </c>
      <c r="E589" s="1" t="s">
        <v>12</v>
      </c>
      <c r="F589" s="1" t="s">
        <v>13</v>
      </c>
      <c r="G589" s="1" t="s">
        <v>14</v>
      </c>
      <c r="H589">
        <v>11928</v>
      </c>
      <c r="I589">
        <v>4</v>
      </c>
      <c r="J589">
        <v>2023</v>
      </c>
      <c r="K589" s="1" t="s">
        <v>873</v>
      </c>
      <c r="L589">
        <v>11</v>
      </c>
      <c r="M589" s="1">
        <v>47712</v>
      </c>
    </row>
    <row r="590" spans="1:13" x14ac:dyDescent="0.3">
      <c r="A590" s="1" t="s">
        <v>647</v>
      </c>
      <c r="B590" s="2">
        <v>45117</v>
      </c>
      <c r="C590" s="1" t="s">
        <v>38</v>
      </c>
      <c r="D590" s="1" t="s">
        <v>39</v>
      </c>
      <c r="E590" s="1" t="s">
        <v>12</v>
      </c>
      <c r="F590" s="1" t="s">
        <v>13</v>
      </c>
      <c r="G590" s="1" t="s">
        <v>14</v>
      </c>
      <c r="H590">
        <v>17605</v>
      </c>
      <c r="I590">
        <v>5</v>
      </c>
      <c r="J590">
        <v>2023</v>
      </c>
      <c r="K590" s="1" t="s">
        <v>864</v>
      </c>
      <c r="L590">
        <v>7</v>
      </c>
      <c r="M590" s="1">
        <v>88025</v>
      </c>
    </row>
    <row r="591" spans="1:13" x14ac:dyDescent="0.3">
      <c r="A591" s="1" t="s">
        <v>648</v>
      </c>
      <c r="B591" s="2">
        <v>45089</v>
      </c>
      <c r="C591" s="1" t="s">
        <v>109</v>
      </c>
      <c r="D591" s="1" t="s">
        <v>110</v>
      </c>
      <c r="E591" s="1" t="s">
        <v>36</v>
      </c>
      <c r="F591" s="1" t="s">
        <v>18</v>
      </c>
      <c r="G591" s="1" t="s">
        <v>23</v>
      </c>
      <c r="H591">
        <v>14985</v>
      </c>
      <c r="I591">
        <v>5</v>
      </c>
      <c r="J591">
        <v>2023</v>
      </c>
      <c r="K591" s="1" t="s">
        <v>863</v>
      </c>
      <c r="L591">
        <v>6</v>
      </c>
      <c r="M591" s="1">
        <v>74925</v>
      </c>
    </row>
    <row r="592" spans="1:13" x14ac:dyDescent="0.3">
      <c r="A592" s="1" t="s">
        <v>649</v>
      </c>
      <c r="B592" s="2">
        <v>45039</v>
      </c>
      <c r="C592" s="1" t="s">
        <v>16</v>
      </c>
      <c r="D592" s="1" t="s">
        <v>17</v>
      </c>
      <c r="E592" s="1" t="s">
        <v>29</v>
      </c>
      <c r="F592" s="1" t="s">
        <v>18</v>
      </c>
      <c r="G592" s="1" t="s">
        <v>14</v>
      </c>
      <c r="H592">
        <v>11583</v>
      </c>
      <c r="I592">
        <v>3</v>
      </c>
      <c r="J592">
        <v>2023</v>
      </c>
      <c r="K592" s="1" t="s">
        <v>867</v>
      </c>
      <c r="L592">
        <v>4</v>
      </c>
      <c r="M592" s="1">
        <v>34749</v>
      </c>
    </row>
    <row r="593" spans="1:13" x14ac:dyDescent="0.3">
      <c r="A593" s="1" t="s">
        <v>650</v>
      </c>
      <c r="B593" s="2">
        <v>45250</v>
      </c>
      <c r="C593" s="1" t="s">
        <v>67</v>
      </c>
      <c r="D593" s="1" t="s">
        <v>68</v>
      </c>
      <c r="E593" s="1" t="s">
        <v>29</v>
      </c>
      <c r="F593" s="1" t="s">
        <v>13</v>
      </c>
      <c r="G593" s="1" t="s">
        <v>14</v>
      </c>
      <c r="H593">
        <v>27786</v>
      </c>
      <c r="I593">
        <v>6</v>
      </c>
      <c r="J593">
        <v>2023</v>
      </c>
      <c r="K593" s="1" t="s">
        <v>873</v>
      </c>
      <c r="L593">
        <v>11</v>
      </c>
      <c r="M593" s="1">
        <v>166716</v>
      </c>
    </row>
    <row r="594" spans="1:13" x14ac:dyDescent="0.3">
      <c r="A594" s="1" t="s">
        <v>651</v>
      </c>
      <c r="B594" s="2">
        <v>45099</v>
      </c>
      <c r="C594" s="1" t="s">
        <v>31</v>
      </c>
      <c r="D594" s="1" t="s">
        <v>32</v>
      </c>
      <c r="E594" s="1" t="s">
        <v>12</v>
      </c>
      <c r="F594" s="1" t="s">
        <v>13</v>
      </c>
      <c r="G594" s="1" t="s">
        <v>40</v>
      </c>
      <c r="H594">
        <v>8652</v>
      </c>
      <c r="I594">
        <v>6</v>
      </c>
      <c r="J594">
        <v>2023</v>
      </c>
      <c r="K594" s="1" t="s">
        <v>863</v>
      </c>
      <c r="L594">
        <v>6</v>
      </c>
      <c r="M594" s="1">
        <v>51912</v>
      </c>
    </row>
    <row r="595" spans="1:13" x14ac:dyDescent="0.3">
      <c r="A595" s="1" t="s">
        <v>652</v>
      </c>
      <c r="B595" s="2">
        <v>44968</v>
      </c>
      <c r="C595" s="1" t="s">
        <v>34</v>
      </c>
      <c r="D595" s="1" t="s">
        <v>35</v>
      </c>
      <c r="E595" s="1" t="s">
        <v>29</v>
      </c>
      <c r="F595" s="1" t="s">
        <v>22</v>
      </c>
      <c r="G595" s="1" t="s">
        <v>14</v>
      </c>
      <c r="H595">
        <v>25992</v>
      </c>
      <c r="I595">
        <v>6</v>
      </c>
      <c r="J595">
        <v>2023</v>
      </c>
      <c r="K595" s="1" t="s">
        <v>871</v>
      </c>
      <c r="L595">
        <v>2</v>
      </c>
      <c r="M595" s="1">
        <v>155952</v>
      </c>
    </row>
    <row r="596" spans="1:13" x14ac:dyDescent="0.3">
      <c r="A596" s="1" t="s">
        <v>653</v>
      </c>
      <c r="B596" s="2">
        <v>44954</v>
      </c>
      <c r="C596" s="1" t="s">
        <v>50</v>
      </c>
      <c r="D596" s="1" t="s">
        <v>51</v>
      </c>
      <c r="E596" s="1" t="s">
        <v>12</v>
      </c>
      <c r="F596" s="1" t="s">
        <v>25</v>
      </c>
      <c r="G596" s="1" t="s">
        <v>14</v>
      </c>
      <c r="H596">
        <v>26272</v>
      </c>
      <c r="I596">
        <v>8</v>
      </c>
      <c r="J596">
        <v>2023</v>
      </c>
      <c r="K596" s="1" t="s">
        <v>868</v>
      </c>
      <c r="L596">
        <v>1</v>
      </c>
      <c r="M596" s="1">
        <v>210176</v>
      </c>
    </row>
    <row r="597" spans="1:13" x14ac:dyDescent="0.3">
      <c r="A597" s="1" t="s">
        <v>654</v>
      </c>
      <c r="B597" s="2">
        <v>44947</v>
      </c>
      <c r="C597" s="1" t="s">
        <v>67</v>
      </c>
      <c r="D597" s="1" t="s">
        <v>68</v>
      </c>
      <c r="E597" s="1" t="s">
        <v>36</v>
      </c>
      <c r="F597" s="1" t="s">
        <v>25</v>
      </c>
      <c r="G597" s="1" t="s">
        <v>40</v>
      </c>
      <c r="H597">
        <v>4747</v>
      </c>
      <c r="I597">
        <v>1</v>
      </c>
      <c r="J597">
        <v>2023</v>
      </c>
      <c r="K597" s="1" t="s">
        <v>868</v>
      </c>
      <c r="L597">
        <v>1</v>
      </c>
      <c r="M597" s="1">
        <v>4747</v>
      </c>
    </row>
    <row r="598" spans="1:13" x14ac:dyDescent="0.3">
      <c r="A598" s="1" t="s">
        <v>655</v>
      </c>
      <c r="B598" s="2">
        <v>45066</v>
      </c>
      <c r="C598" s="1" t="s">
        <v>77</v>
      </c>
      <c r="D598" s="1" t="s">
        <v>78</v>
      </c>
      <c r="E598" s="1" t="s">
        <v>36</v>
      </c>
      <c r="F598" s="1" t="s">
        <v>13</v>
      </c>
      <c r="G598" s="1" t="s">
        <v>40</v>
      </c>
      <c r="H598">
        <v>30562</v>
      </c>
      <c r="I598">
        <v>7</v>
      </c>
      <c r="J598">
        <v>2023</v>
      </c>
      <c r="K598" s="1" t="s">
        <v>872</v>
      </c>
      <c r="L598">
        <v>5</v>
      </c>
      <c r="M598" s="1">
        <v>213934</v>
      </c>
    </row>
    <row r="599" spans="1:13" x14ac:dyDescent="0.3">
      <c r="A599" s="1" t="s">
        <v>656</v>
      </c>
      <c r="B599" s="2">
        <v>44953</v>
      </c>
      <c r="C599" s="1" t="s">
        <v>50</v>
      </c>
      <c r="D599" s="1" t="s">
        <v>51</v>
      </c>
      <c r="E599" s="1" t="s">
        <v>12</v>
      </c>
      <c r="F599" s="1" t="s">
        <v>25</v>
      </c>
      <c r="G599" s="1" t="s">
        <v>40</v>
      </c>
      <c r="H599">
        <v>17856</v>
      </c>
      <c r="I599">
        <v>4</v>
      </c>
      <c r="J599">
        <v>2023</v>
      </c>
      <c r="K599" s="1" t="s">
        <v>868</v>
      </c>
      <c r="L599">
        <v>1</v>
      </c>
      <c r="M599" s="1">
        <v>71424</v>
      </c>
    </row>
    <row r="600" spans="1:13" x14ac:dyDescent="0.3">
      <c r="A600" s="1" t="s">
        <v>657</v>
      </c>
      <c r="B600" s="2">
        <v>45097</v>
      </c>
      <c r="C600" s="1" t="s">
        <v>67</v>
      </c>
      <c r="D600" s="1" t="s">
        <v>68</v>
      </c>
      <c r="E600" s="1" t="s">
        <v>36</v>
      </c>
      <c r="F600" s="1" t="s">
        <v>18</v>
      </c>
      <c r="G600" s="1" t="s">
        <v>23</v>
      </c>
      <c r="H600">
        <v>4742</v>
      </c>
      <c r="I600">
        <v>2</v>
      </c>
      <c r="J600">
        <v>2023</v>
      </c>
      <c r="K600" s="1" t="s">
        <v>863</v>
      </c>
      <c r="L600">
        <v>6</v>
      </c>
      <c r="M600" s="1">
        <v>9484</v>
      </c>
    </row>
    <row r="601" spans="1:13" x14ac:dyDescent="0.3">
      <c r="A601" s="1" t="s">
        <v>658</v>
      </c>
      <c r="B601" s="2">
        <v>44968</v>
      </c>
      <c r="C601" s="1" t="s">
        <v>89</v>
      </c>
      <c r="D601" s="1" t="s">
        <v>90</v>
      </c>
      <c r="E601" s="1" t="s">
        <v>29</v>
      </c>
      <c r="F601" s="1" t="s">
        <v>22</v>
      </c>
      <c r="G601" s="1" t="s">
        <v>23</v>
      </c>
      <c r="H601">
        <v>17315</v>
      </c>
      <c r="I601">
        <v>5</v>
      </c>
      <c r="J601">
        <v>2023</v>
      </c>
      <c r="K601" s="1" t="s">
        <v>871</v>
      </c>
      <c r="L601">
        <v>2</v>
      </c>
      <c r="M601" s="1">
        <v>86575</v>
      </c>
    </row>
    <row r="602" spans="1:13" x14ac:dyDescent="0.3">
      <c r="A602" s="1" t="s">
        <v>659</v>
      </c>
      <c r="B602" s="2">
        <v>45072</v>
      </c>
      <c r="C602" s="1" t="s">
        <v>43</v>
      </c>
      <c r="D602" s="1" t="s">
        <v>44</v>
      </c>
      <c r="E602" s="1" t="s">
        <v>29</v>
      </c>
      <c r="F602" s="1" t="s">
        <v>18</v>
      </c>
      <c r="G602" s="1" t="s">
        <v>14</v>
      </c>
      <c r="H602">
        <v>17040</v>
      </c>
      <c r="I602">
        <v>6</v>
      </c>
      <c r="J602">
        <v>2023</v>
      </c>
      <c r="K602" s="1" t="s">
        <v>872</v>
      </c>
      <c r="L602">
        <v>5</v>
      </c>
      <c r="M602" s="1">
        <v>102240</v>
      </c>
    </row>
    <row r="603" spans="1:13" x14ac:dyDescent="0.3">
      <c r="A603" s="1" t="s">
        <v>660</v>
      </c>
      <c r="B603" s="2">
        <v>45056</v>
      </c>
      <c r="C603" s="1" t="s">
        <v>16</v>
      </c>
      <c r="D603" s="1" t="s">
        <v>17</v>
      </c>
      <c r="E603" s="1" t="s">
        <v>36</v>
      </c>
      <c r="F603" s="1" t="s">
        <v>25</v>
      </c>
      <c r="G603" s="1" t="s">
        <v>14</v>
      </c>
      <c r="H603">
        <v>17840</v>
      </c>
      <c r="I603">
        <v>4</v>
      </c>
      <c r="J603">
        <v>2023</v>
      </c>
      <c r="K603" s="1" t="s">
        <v>872</v>
      </c>
      <c r="L603">
        <v>5</v>
      </c>
      <c r="M603" s="1">
        <v>71360</v>
      </c>
    </row>
    <row r="604" spans="1:13" x14ac:dyDescent="0.3">
      <c r="A604" s="1" t="s">
        <v>661</v>
      </c>
      <c r="B604" s="2">
        <v>45126</v>
      </c>
      <c r="C604" s="1" t="s">
        <v>31</v>
      </c>
      <c r="D604" s="1" t="s">
        <v>32</v>
      </c>
      <c r="E604" s="1" t="s">
        <v>36</v>
      </c>
      <c r="F604" s="1" t="s">
        <v>25</v>
      </c>
      <c r="G604" s="1" t="s">
        <v>23</v>
      </c>
      <c r="H604">
        <v>5780</v>
      </c>
      <c r="I604">
        <v>5</v>
      </c>
      <c r="J604">
        <v>2023</v>
      </c>
      <c r="K604" s="1" t="s">
        <v>864</v>
      </c>
      <c r="L604">
        <v>7</v>
      </c>
      <c r="M604" s="1">
        <v>28900</v>
      </c>
    </row>
    <row r="605" spans="1:13" x14ac:dyDescent="0.3">
      <c r="A605" s="1" t="s">
        <v>662</v>
      </c>
      <c r="B605" s="2">
        <v>45054</v>
      </c>
      <c r="C605" s="1" t="s">
        <v>64</v>
      </c>
      <c r="D605" s="1" t="s">
        <v>65</v>
      </c>
      <c r="E605" s="1" t="s">
        <v>36</v>
      </c>
      <c r="F605" s="1" t="s">
        <v>18</v>
      </c>
      <c r="G605" s="1" t="s">
        <v>14</v>
      </c>
      <c r="H605">
        <v>9594</v>
      </c>
      <c r="I605">
        <v>6</v>
      </c>
      <c r="J605">
        <v>2023</v>
      </c>
      <c r="K605" s="1" t="s">
        <v>872</v>
      </c>
      <c r="L605">
        <v>5</v>
      </c>
      <c r="M605" s="1">
        <v>57564</v>
      </c>
    </row>
    <row r="606" spans="1:13" x14ac:dyDescent="0.3">
      <c r="A606" s="1" t="s">
        <v>663</v>
      </c>
      <c r="B606" s="2">
        <v>45042</v>
      </c>
      <c r="C606" s="1" t="s">
        <v>123</v>
      </c>
      <c r="D606" s="1" t="s">
        <v>124</v>
      </c>
      <c r="E606" s="1" t="s">
        <v>29</v>
      </c>
      <c r="F606" s="1" t="s">
        <v>22</v>
      </c>
      <c r="G606" s="1" t="s">
        <v>23</v>
      </c>
      <c r="H606">
        <v>6681</v>
      </c>
      <c r="I606">
        <v>3</v>
      </c>
      <c r="J606">
        <v>2023</v>
      </c>
      <c r="K606" s="1" t="s">
        <v>867</v>
      </c>
      <c r="L606">
        <v>4</v>
      </c>
      <c r="M606" s="1">
        <v>20043</v>
      </c>
    </row>
    <row r="607" spans="1:13" x14ac:dyDescent="0.3">
      <c r="A607" s="1" t="s">
        <v>664</v>
      </c>
      <c r="B607" s="2">
        <v>45163</v>
      </c>
      <c r="C607" s="1" t="s">
        <v>73</v>
      </c>
      <c r="D607" s="1" t="s">
        <v>74</v>
      </c>
      <c r="E607" s="1" t="s">
        <v>29</v>
      </c>
      <c r="F607" s="1" t="s">
        <v>22</v>
      </c>
      <c r="G607" s="1" t="s">
        <v>40</v>
      </c>
      <c r="H607">
        <v>35920</v>
      </c>
      <c r="I607">
        <v>10</v>
      </c>
      <c r="J607">
        <v>2023</v>
      </c>
      <c r="K607" s="1" t="s">
        <v>874</v>
      </c>
      <c r="L607">
        <v>8</v>
      </c>
      <c r="M607" s="1">
        <v>359200</v>
      </c>
    </row>
    <row r="608" spans="1:13" x14ac:dyDescent="0.3">
      <c r="A608" s="1" t="s">
        <v>665</v>
      </c>
      <c r="B608" s="2">
        <v>45283</v>
      </c>
      <c r="C608" s="1" t="s">
        <v>89</v>
      </c>
      <c r="D608" s="1" t="s">
        <v>90</v>
      </c>
      <c r="E608" s="1" t="s">
        <v>36</v>
      </c>
      <c r="F608" s="1" t="s">
        <v>25</v>
      </c>
      <c r="G608" s="1" t="s">
        <v>23</v>
      </c>
      <c r="H608">
        <v>25344</v>
      </c>
      <c r="I608">
        <v>6</v>
      </c>
      <c r="J608">
        <v>2023</v>
      </c>
      <c r="K608" s="1" t="s">
        <v>869</v>
      </c>
      <c r="L608">
        <v>12</v>
      </c>
      <c r="M608" s="1">
        <v>152064</v>
      </c>
    </row>
    <row r="609" spans="1:13" x14ac:dyDescent="0.3">
      <c r="A609" s="1" t="s">
        <v>666</v>
      </c>
      <c r="B609" s="2">
        <v>45120</v>
      </c>
      <c r="C609" s="1" t="s">
        <v>47</v>
      </c>
      <c r="D609" s="1" t="s">
        <v>48</v>
      </c>
      <c r="E609" s="1" t="s">
        <v>12</v>
      </c>
      <c r="F609" s="1" t="s">
        <v>13</v>
      </c>
      <c r="G609" s="1" t="s">
        <v>40</v>
      </c>
      <c r="H609">
        <v>38034</v>
      </c>
      <c r="I609">
        <v>9</v>
      </c>
      <c r="J609">
        <v>2023</v>
      </c>
      <c r="K609" s="1" t="s">
        <v>864</v>
      </c>
      <c r="L609">
        <v>7</v>
      </c>
      <c r="M609" s="1">
        <v>342306</v>
      </c>
    </row>
    <row r="610" spans="1:13" x14ac:dyDescent="0.3">
      <c r="A610" s="1" t="s">
        <v>667</v>
      </c>
      <c r="B610" s="2">
        <v>45079</v>
      </c>
      <c r="C610" s="1" t="s">
        <v>123</v>
      </c>
      <c r="D610" s="1" t="s">
        <v>124</v>
      </c>
      <c r="E610" s="1" t="s">
        <v>29</v>
      </c>
      <c r="F610" s="1" t="s">
        <v>22</v>
      </c>
      <c r="G610" s="1" t="s">
        <v>23</v>
      </c>
      <c r="H610">
        <v>4684</v>
      </c>
      <c r="I610">
        <v>1</v>
      </c>
      <c r="J610">
        <v>2023</v>
      </c>
      <c r="K610" s="1" t="s">
        <v>863</v>
      </c>
      <c r="L610">
        <v>6</v>
      </c>
      <c r="M610" s="1">
        <v>4684</v>
      </c>
    </row>
    <row r="611" spans="1:13" x14ac:dyDescent="0.3">
      <c r="A611" s="1" t="s">
        <v>668</v>
      </c>
      <c r="B611" s="2">
        <v>45289</v>
      </c>
      <c r="C611" s="1" t="s">
        <v>20</v>
      </c>
      <c r="D611" s="1" t="s">
        <v>21</v>
      </c>
      <c r="E611" s="1" t="s">
        <v>36</v>
      </c>
      <c r="F611" s="1" t="s">
        <v>25</v>
      </c>
      <c r="G611" s="1" t="s">
        <v>40</v>
      </c>
      <c r="H611">
        <v>31040</v>
      </c>
      <c r="I611">
        <v>10</v>
      </c>
      <c r="J611">
        <v>2023</v>
      </c>
      <c r="K611" s="1" t="s">
        <v>869</v>
      </c>
      <c r="L611">
        <v>12</v>
      </c>
      <c r="M611" s="1">
        <v>310400</v>
      </c>
    </row>
    <row r="612" spans="1:13" x14ac:dyDescent="0.3">
      <c r="A612" s="1" t="s">
        <v>669</v>
      </c>
      <c r="B612" s="2">
        <v>45225</v>
      </c>
      <c r="C612" s="1" t="s">
        <v>73</v>
      </c>
      <c r="D612" s="1" t="s">
        <v>74</v>
      </c>
      <c r="E612" s="1" t="s">
        <v>29</v>
      </c>
      <c r="F612" s="1" t="s">
        <v>13</v>
      </c>
      <c r="G612" s="1" t="s">
        <v>40</v>
      </c>
      <c r="H612">
        <v>16984</v>
      </c>
      <c r="I612">
        <v>4</v>
      </c>
      <c r="J612">
        <v>2023</v>
      </c>
      <c r="K612" s="1" t="s">
        <v>865</v>
      </c>
      <c r="L612">
        <v>10</v>
      </c>
      <c r="M612" s="1">
        <v>67936</v>
      </c>
    </row>
    <row r="613" spans="1:13" x14ac:dyDescent="0.3">
      <c r="A613" s="1" t="s">
        <v>670</v>
      </c>
      <c r="B613" s="2">
        <v>45082</v>
      </c>
      <c r="C613" s="1" t="s">
        <v>27</v>
      </c>
      <c r="D613" s="1" t="s">
        <v>28</v>
      </c>
      <c r="E613" s="1" t="s">
        <v>29</v>
      </c>
      <c r="F613" s="1" t="s">
        <v>18</v>
      </c>
      <c r="G613" s="1" t="s">
        <v>14</v>
      </c>
      <c r="H613">
        <v>25950</v>
      </c>
      <c r="I613">
        <v>6</v>
      </c>
      <c r="J613">
        <v>2023</v>
      </c>
      <c r="K613" s="1" t="s">
        <v>863</v>
      </c>
      <c r="L613">
        <v>6</v>
      </c>
      <c r="M613" s="1">
        <v>155700</v>
      </c>
    </row>
    <row r="614" spans="1:13" x14ac:dyDescent="0.3">
      <c r="A614" s="1" t="s">
        <v>671</v>
      </c>
      <c r="B614" s="2">
        <v>44999</v>
      </c>
      <c r="C614" s="1" t="s">
        <v>50</v>
      </c>
      <c r="D614" s="1" t="s">
        <v>51</v>
      </c>
      <c r="E614" s="1" t="s">
        <v>36</v>
      </c>
      <c r="F614" s="1" t="s">
        <v>25</v>
      </c>
      <c r="G614" s="1" t="s">
        <v>23</v>
      </c>
      <c r="H614">
        <v>5818</v>
      </c>
      <c r="I614">
        <v>2</v>
      </c>
      <c r="J614">
        <v>2023</v>
      </c>
      <c r="K614" s="1" t="s">
        <v>870</v>
      </c>
      <c r="L614">
        <v>3</v>
      </c>
      <c r="M614" s="1">
        <v>11636</v>
      </c>
    </row>
    <row r="615" spans="1:13" x14ac:dyDescent="0.3">
      <c r="A615" s="1" t="s">
        <v>672</v>
      </c>
      <c r="B615" s="2">
        <v>45022</v>
      </c>
      <c r="C615" s="1" t="s">
        <v>10</v>
      </c>
      <c r="D615" s="1" t="s">
        <v>11</v>
      </c>
      <c r="E615" s="1" t="s">
        <v>36</v>
      </c>
      <c r="F615" s="1" t="s">
        <v>25</v>
      </c>
      <c r="G615" s="1" t="s">
        <v>40</v>
      </c>
      <c r="H615">
        <v>5664</v>
      </c>
      <c r="I615">
        <v>3</v>
      </c>
      <c r="J615">
        <v>2023</v>
      </c>
      <c r="K615" s="1" t="s">
        <v>867</v>
      </c>
      <c r="L615">
        <v>4</v>
      </c>
      <c r="M615" s="1">
        <v>16992</v>
      </c>
    </row>
    <row r="616" spans="1:13" x14ac:dyDescent="0.3">
      <c r="A616" s="1" t="s">
        <v>673</v>
      </c>
      <c r="B616" s="2">
        <v>45033</v>
      </c>
      <c r="C616" s="1" t="s">
        <v>20</v>
      </c>
      <c r="D616" s="1" t="s">
        <v>21</v>
      </c>
      <c r="E616" s="1" t="s">
        <v>12</v>
      </c>
      <c r="F616" s="1" t="s">
        <v>25</v>
      </c>
      <c r="G616" s="1" t="s">
        <v>23</v>
      </c>
      <c r="H616">
        <v>22300</v>
      </c>
      <c r="I616">
        <v>10</v>
      </c>
      <c r="J616">
        <v>2023</v>
      </c>
      <c r="K616" s="1" t="s">
        <v>867</v>
      </c>
      <c r="L616">
        <v>4</v>
      </c>
      <c r="M616" s="1">
        <v>223000</v>
      </c>
    </row>
    <row r="617" spans="1:13" x14ac:dyDescent="0.3">
      <c r="A617" s="1" t="s">
        <v>674</v>
      </c>
      <c r="B617" s="2">
        <v>45244</v>
      </c>
      <c r="C617" s="1" t="s">
        <v>20</v>
      </c>
      <c r="D617" s="1" t="s">
        <v>21</v>
      </c>
      <c r="E617" s="1" t="s">
        <v>12</v>
      </c>
      <c r="F617" s="1" t="s">
        <v>13</v>
      </c>
      <c r="G617" s="1" t="s">
        <v>14</v>
      </c>
      <c r="H617">
        <v>37220</v>
      </c>
      <c r="I617">
        <v>10</v>
      </c>
      <c r="J617">
        <v>2023</v>
      </c>
      <c r="K617" s="1" t="s">
        <v>873</v>
      </c>
      <c r="L617">
        <v>11</v>
      </c>
      <c r="M617" s="1">
        <v>372200</v>
      </c>
    </row>
    <row r="618" spans="1:13" x14ac:dyDescent="0.3">
      <c r="A618" s="1" t="s">
        <v>675</v>
      </c>
      <c r="B618" s="2">
        <v>45028</v>
      </c>
      <c r="C618" s="1" t="s">
        <v>38</v>
      </c>
      <c r="D618" s="1" t="s">
        <v>39</v>
      </c>
      <c r="E618" s="1" t="s">
        <v>12</v>
      </c>
      <c r="F618" s="1" t="s">
        <v>25</v>
      </c>
      <c r="G618" s="1" t="s">
        <v>14</v>
      </c>
      <c r="H618">
        <v>23436</v>
      </c>
      <c r="I618">
        <v>6</v>
      </c>
      <c r="J618">
        <v>2023</v>
      </c>
      <c r="K618" s="1" t="s">
        <v>867</v>
      </c>
      <c r="L618">
        <v>4</v>
      </c>
      <c r="M618" s="1">
        <v>140616</v>
      </c>
    </row>
    <row r="619" spans="1:13" x14ac:dyDescent="0.3">
      <c r="A619" s="1" t="s">
        <v>676</v>
      </c>
      <c r="B619" s="2">
        <v>45013</v>
      </c>
      <c r="C619" s="1" t="s">
        <v>27</v>
      </c>
      <c r="D619" s="1" t="s">
        <v>28</v>
      </c>
      <c r="E619" s="1" t="s">
        <v>12</v>
      </c>
      <c r="F619" s="1" t="s">
        <v>25</v>
      </c>
      <c r="G619" s="1" t="s">
        <v>40</v>
      </c>
      <c r="H619">
        <v>37940</v>
      </c>
      <c r="I619">
        <v>10</v>
      </c>
      <c r="J619">
        <v>2023</v>
      </c>
      <c r="K619" s="1" t="s">
        <v>870</v>
      </c>
      <c r="L619">
        <v>3</v>
      </c>
      <c r="M619" s="1">
        <v>379400</v>
      </c>
    </row>
    <row r="620" spans="1:13" x14ac:dyDescent="0.3">
      <c r="A620" s="1" t="s">
        <v>677</v>
      </c>
      <c r="B620" s="2">
        <v>45096</v>
      </c>
      <c r="C620" s="1" t="s">
        <v>89</v>
      </c>
      <c r="D620" s="1" t="s">
        <v>90</v>
      </c>
      <c r="E620" s="1" t="s">
        <v>29</v>
      </c>
      <c r="F620" s="1" t="s">
        <v>22</v>
      </c>
      <c r="G620" s="1" t="s">
        <v>23</v>
      </c>
      <c r="H620">
        <v>2974</v>
      </c>
      <c r="I620">
        <v>2</v>
      </c>
      <c r="J620">
        <v>2023</v>
      </c>
      <c r="K620" s="1" t="s">
        <v>863</v>
      </c>
      <c r="L620">
        <v>6</v>
      </c>
      <c r="M620" s="1">
        <v>5948</v>
      </c>
    </row>
    <row r="621" spans="1:13" x14ac:dyDescent="0.3">
      <c r="A621" s="1" t="s">
        <v>678</v>
      </c>
      <c r="B621" s="2">
        <v>45171</v>
      </c>
      <c r="C621" s="1" t="s">
        <v>137</v>
      </c>
      <c r="D621" s="1" t="s">
        <v>138</v>
      </c>
      <c r="E621" s="1" t="s">
        <v>29</v>
      </c>
      <c r="F621" s="1" t="s">
        <v>13</v>
      </c>
      <c r="G621" s="1" t="s">
        <v>40</v>
      </c>
      <c r="H621">
        <v>7380</v>
      </c>
      <c r="I621">
        <v>3</v>
      </c>
      <c r="J621">
        <v>2023</v>
      </c>
      <c r="K621" s="1" t="s">
        <v>866</v>
      </c>
      <c r="L621">
        <v>9</v>
      </c>
      <c r="M621" s="1">
        <v>22140</v>
      </c>
    </row>
    <row r="622" spans="1:13" x14ac:dyDescent="0.3">
      <c r="A622" s="1" t="s">
        <v>679</v>
      </c>
      <c r="B622" s="2">
        <v>44957</v>
      </c>
      <c r="C622" s="1" t="s">
        <v>27</v>
      </c>
      <c r="D622" s="1" t="s">
        <v>28</v>
      </c>
      <c r="E622" s="1" t="s">
        <v>36</v>
      </c>
      <c r="F622" s="1" t="s">
        <v>18</v>
      </c>
      <c r="G622" s="1" t="s">
        <v>40</v>
      </c>
      <c r="H622">
        <v>10990</v>
      </c>
      <c r="I622">
        <v>5</v>
      </c>
      <c r="J622">
        <v>2023</v>
      </c>
      <c r="K622" s="1" t="s">
        <v>868</v>
      </c>
      <c r="L622">
        <v>1</v>
      </c>
      <c r="M622" s="1">
        <v>54950</v>
      </c>
    </row>
    <row r="623" spans="1:13" x14ac:dyDescent="0.3">
      <c r="A623" s="1" t="s">
        <v>680</v>
      </c>
      <c r="B623" s="2">
        <v>44964</v>
      </c>
      <c r="C623" s="1" t="s">
        <v>67</v>
      </c>
      <c r="D623" s="1" t="s">
        <v>68</v>
      </c>
      <c r="E623" s="1" t="s">
        <v>36</v>
      </c>
      <c r="F623" s="1" t="s">
        <v>25</v>
      </c>
      <c r="G623" s="1" t="s">
        <v>14</v>
      </c>
      <c r="H623">
        <v>11668</v>
      </c>
      <c r="I623">
        <v>4</v>
      </c>
      <c r="J623">
        <v>2023</v>
      </c>
      <c r="K623" s="1" t="s">
        <v>871</v>
      </c>
      <c r="L623">
        <v>2</v>
      </c>
      <c r="M623" s="1">
        <v>46672</v>
      </c>
    </row>
    <row r="624" spans="1:13" x14ac:dyDescent="0.3">
      <c r="A624" s="1" t="s">
        <v>681</v>
      </c>
      <c r="B624" s="2">
        <v>45242</v>
      </c>
      <c r="C624" s="1" t="s">
        <v>53</v>
      </c>
      <c r="D624" s="1" t="s">
        <v>54</v>
      </c>
      <c r="E624" s="1" t="s">
        <v>29</v>
      </c>
      <c r="F624" s="1" t="s">
        <v>22</v>
      </c>
      <c r="G624" s="1" t="s">
        <v>40</v>
      </c>
      <c r="H624">
        <v>19820</v>
      </c>
      <c r="I624">
        <v>4</v>
      </c>
      <c r="J624">
        <v>2023</v>
      </c>
      <c r="K624" s="1" t="s">
        <v>873</v>
      </c>
      <c r="L624">
        <v>11</v>
      </c>
      <c r="M624" s="1">
        <v>79280</v>
      </c>
    </row>
    <row r="625" spans="1:13" x14ac:dyDescent="0.3">
      <c r="A625" s="1" t="s">
        <v>682</v>
      </c>
      <c r="B625" s="2">
        <v>44934</v>
      </c>
      <c r="C625" s="1" t="s">
        <v>34</v>
      </c>
      <c r="D625" s="1" t="s">
        <v>35</v>
      </c>
      <c r="E625" s="1" t="s">
        <v>29</v>
      </c>
      <c r="F625" s="1" t="s">
        <v>18</v>
      </c>
      <c r="G625" s="1" t="s">
        <v>23</v>
      </c>
      <c r="H625">
        <v>9136</v>
      </c>
      <c r="I625">
        <v>4</v>
      </c>
      <c r="J625">
        <v>2023</v>
      </c>
      <c r="K625" s="1" t="s">
        <v>868</v>
      </c>
      <c r="L625">
        <v>1</v>
      </c>
      <c r="M625" s="1">
        <v>36544</v>
      </c>
    </row>
    <row r="626" spans="1:13" x14ac:dyDescent="0.3">
      <c r="A626" s="1" t="s">
        <v>683</v>
      </c>
      <c r="B626" s="2">
        <v>44931</v>
      </c>
      <c r="C626" s="1" t="s">
        <v>43</v>
      </c>
      <c r="D626" s="1" t="s">
        <v>44</v>
      </c>
      <c r="E626" s="1" t="s">
        <v>12</v>
      </c>
      <c r="F626" s="1" t="s">
        <v>22</v>
      </c>
      <c r="G626" s="1" t="s">
        <v>23</v>
      </c>
      <c r="H626">
        <v>8190</v>
      </c>
      <c r="I626">
        <v>9</v>
      </c>
      <c r="J626">
        <v>2023</v>
      </c>
      <c r="K626" s="1" t="s">
        <v>868</v>
      </c>
      <c r="L626">
        <v>1</v>
      </c>
      <c r="M626" s="1">
        <v>73710</v>
      </c>
    </row>
    <row r="627" spans="1:13" x14ac:dyDescent="0.3">
      <c r="A627" s="1" t="s">
        <v>684</v>
      </c>
      <c r="B627" s="2">
        <v>45017</v>
      </c>
      <c r="C627" s="1" t="s">
        <v>50</v>
      </c>
      <c r="D627" s="1" t="s">
        <v>51</v>
      </c>
      <c r="E627" s="1" t="s">
        <v>12</v>
      </c>
      <c r="F627" s="1" t="s">
        <v>18</v>
      </c>
      <c r="G627" s="1" t="s">
        <v>40</v>
      </c>
      <c r="H627">
        <v>11248</v>
      </c>
      <c r="I627">
        <v>4</v>
      </c>
      <c r="J627">
        <v>2023</v>
      </c>
      <c r="K627" s="1" t="s">
        <v>867</v>
      </c>
      <c r="L627">
        <v>4</v>
      </c>
      <c r="M627" s="1">
        <v>44992</v>
      </c>
    </row>
    <row r="628" spans="1:13" x14ac:dyDescent="0.3">
      <c r="A628" s="1" t="s">
        <v>685</v>
      </c>
      <c r="B628" s="2">
        <v>44973</v>
      </c>
      <c r="C628" s="1" t="s">
        <v>53</v>
      </c>
      <c r="D628" s="1" t="s">
        <v>54</v>
      </c>
      <c r="E628" s="1" t="s">
        <v>29</v>
      </c>
      <c r="F628" s="1" t="s">
        <v>18</v>
      </c>
      <c r="G628" s="1" t="s">
        <v>14</v>
      </c>
      <c r="H628">
        <v>19074</v>
      </c>
      <c r="I628">
        <v>6</v>
      </c>
      <c r="J628">
        <v>2023</v>
      </c>
      <c r="K628" s="1" t="s">
        <v>871</v>
      </c>
      <c r="L628">
        <v>2</v>
      </c>
      <c r="M628" s="1">
        <v>114444</v>
      </c>
    </row>
    <row r="629" spans="1:13" x14ac:dyDescent="0.3">
      <c r="A629" s="1" t="s">
        <v>686</v>
      </c>
      <c r="B629" s="2">
        <v>44932</v>
      </c>
      <c r="C629" s="1" t="s">
        <v>53</v>
      </c>
      <c r="D629" s="1" t="s">
        <v>54</v>
      </c>
      <c r="E629" s="1" t="s">
        <v>12</v>
      </c>
      <c r="F629" s="1" t="s">
        <v>18</v>
      </c>
      <c r="G629" s="1" t="s">
        <v>14</v>
      </c>
      <c r="H629">
        <v>33966</v>
      </c>
      <c r="I629">
        <v>9</v>
      </c>
      <c r="J629">
        <v>2023</v>
      </c>
      <c r="K629" s="1" t="s">
        <v>868</v>
      </c>
      <c r="L629">
        <v>1</v>
      </c>
      <c r="M629" s="1">
        <v>305694</v>
      </c>
    </row>
    <row r="630" spans="1:13" x14ac:dyDescent="0.3">
      <c r="A630" s="1" t="s">
        <v>687</v>
      </c>
      <c r="B630" s="2">
        <v>45125</v>
      </c>
      <c r="C630" s="1" t="s">
        <v>47</v>
      </c>
      <c r="D630" s="1" t="s">
        <v>48</v>
      </c>
      <c r="E630" s="1" t="s">
        <v>29</v>
      </c>
      <c r="F630" s="1" t="s">
        <v>13</v>
      </c>
      <c r="G630" s="1" t="s">
        <v>14</v>
      </c>
      <c r="H630">
        <v>12575</v>
      </c>
      <c r="I630">
        <v>5</v>
      </c>
      <c r="J630">
        <v>2023</v>
      </c>
      <c r="K630" s="1" t="s">
        <v>864</v>
      </c>
      <c r="L630">
        <v>7</v>
      </c>
      <c r="M630" s="1">
        <v>62875</v>
      </c>
    </row>
    <row r="631" spans="1:13" x14ac:dyDescent="0.3">
      <c r="A631" s="1" t="s">
        <v>688</v>
      </c>
      <c r="B631" s="2">
        <v>45192</v>
      </c>
      <c r="C631" s="1" t="s">
        <v>73</v>
      </c>
      <c r="D631" s="1" t="s">
        <v>74</v>
      </c>
      <c r="E631" s="1" t="s">
        <v>36</v>
      </c>
      <c r="F631" s="1" t="s">
        <v>18</v>
      </c>
      <c r="G631" s="1" t="s">
        <v>23</v>
      </c>
      <c r="H631">
        <v>17556</v>
      </c>
      <c r="I631">
        <v>7</v>
      </c>
      <c r="J631">
        <v>2023</v>
      </c>
      <c r="K631" s="1" t="s">
        <v>866</v>
      </c>
      <c r="L631">
        <v>9</v>
      </c>
      <c r="M631" s="1">
        <v>122892</v>
      </c>
    </row>
    <row r="632" spans="1:13" x14ac:dyDescent="0.3">
      <c r="A632" s="1" t="s">
        <v>689</v>
      </c>
      <c r="B632" s="2">
        <v>45282</v>
      </c>
      <c r="C632" s="1" t="s">
        <v>10</v>
      </c>
      <c r="D632" s="1" t="s">
        <v>11</v>
      </c>
      <c r="E632" s="1" t="s">
        <v>12</v>
      </c>
      <c r="F632" s="1" t="s">
        <v>22</v>
      </c>
      <c r="G632" s="1" t="s">
        <v>14</v>
      </c>
      <c r="H632">
        <v>19887</v>
      </c>
      <c r="I632">
        <v>7</v>
      </c>
      <c r="J632">
        <v>2023</v>
      </c>
      <c r="K632" s="1" t="s">
        <v>869</v>
      </c>
      <c r="L632">
        <v>12</v>
      </c>
      <c r="M632" s="1">
        <v>139209</v>
      </c>
    </row>
    <row r="633" spans="1:13" x14ac:dyDescent="0.3">
      <c r="A633" s="1" t="s">
        <v>690</v>
      </c>
      <c r="B633" s="2">
        <v>44927</v>
      </c>
      <c r="C633" s="1" t="s">
        <v>77</v>
      </c>
      <c r="D633" s="1" t="s">
        <v>78</v>
      </c>
      <c r="E633" s="1" t="s">
        <v>29</v>
      </c>
      <c r="F633" s="1" t="s">
        <v>25</v>
      </c>
      <c r="G633" s="1" t="s">
        <v>23</v>
      </c>
      <c r="H633">
        <v>23952</v>
      </c>
      <c r="I633">
        <v>8</v>
      </c>
      <c r="J633">
        <v>2023</v>
      </c>
      <c r="K633" s="1" t="s">
        <v>868</v>
      </c>
      <c r="L633">
        <v>1</v>
      </c>
      <c r="M633" s="1">
        <v>191616</v>
      </c>
    </row>
    <row r="634" spans="1:13" x14ac:dyDescent="0.3">
      <c r="A634" s="1" t="s">
        <v>691</v>
      </c>
      <c r="B634" s="2">
        <v>45137</v>
      </c>
      <c r="C634" s="1" t="s">
        <v>10</v>
      </c>
      <c r="D634" s="1" t="s">
        <v>11</v>
      </c>
      <c r="E634" s="1" t="s">
        <v>12</v>
      </c>
      <c r="F634" s="1" t="s">
        <v>18</v>
      </c>
      <c r="G634" s="1" t="s">
        <v>14</v>
      </c>
      <c r="H634">
        <v>14364</v>
      </c>
      <c r="I634">
        <v>3</v>
      </c>
      <c r="J634">
        <v>2023</v>
      </c>
      <c r="K634" s="1" t="s">
        <v>864</v>
      </c>
      <c r="L634">
        <v>7</v>
      </c>
      <c r="M634" s="1">
        <v>43092</v>
      </c>
    </row>
    <row r="635" spans="1:13" x14ac:dyDescent="0.3">
      <c r="A635" s="1" t="s">
        <v>692</v>
      </c>
      <c r="B635" s="2">
        <v>45066</v>
      </c>
      <c r="C635" s="1" t="s">
        <v>20</v>
      </c>
      <c r="D635" s="1" t="s">
        <v>21</v>
      </c>
      <c r="E635" s="1" t="s">
        <v>36</v>
      </c>
      <c r="F635" s="1" t="s">
        <v>25</v>
      </c>
      <c r="G635" s="1" t="s">
        <v>23</v>
      </c>
      <c r="H635">
        <v>12060</v>
      </c>
      <c r="I635">
        <v>5</v>
      </c>
      <c r="J635">
        <v>2023</v>
      </c>
      <c r="K635" s="1" t="s">
        <v>872</v>
      </c>
      <c r="L635">
        <v>5</v>
      </c>
      <c r="M635" s="1">
        <v>60300</v>
      </c>
    </row>
    <row r="636" spans="1:13" x14ac:dyDescent="0.3">
      <c r="A636" s="1" t="s">
        <v>693</v>
      </c>
      <c r="B636" s="2">
        <v>45155</v>
      </c>
      <c r="C636" s="1" t="s">
        <v>34</v>
      </c>
      <c r="D636" s="1" t="s">
        <v>35</v>
      </c>
      <c r="E636" s="1" t="s">
        <v>36</v>
      </c>
      <c r="F636" s="1" t="s">
        <v>22</v>
      </c>
      <c r="G636" s="1" t="s">
        <v>23</v>
      </c>
      <c r="H636">
        <v>23355</v>
      </c>
      <c r="I636">
        <v>5</v>
      </c>
      <c r="J636">
        <v>2023</v>
      </c>
      <c r="K636" s="1" t="s">
        <v>874</v>
      </c>
      <c r="L636">
        <v>8</v>
      </c>
      <c r="M636" s="1">
        <v>116775</v>
      </c>
    </row>
    <row r="637" spans="1:13" x14ac:dyDescent="0.3">
      <c r="A637" s="1" t="s">
        <v>694</v>
      </c>
      <c r="B637" s="2">
        <v>45100</v>
      </c>
      <c r="C637" s="1" t="s">
        <v>89</v>
      </c>
      <c r="D637" s="1" t="s">
        <v>90</v>
      </c>
      <c r="E637" s="1" t="s">
        <v>29</v>
      </c>
      <c r="F637" s="1" t="s">
        <v>22</v>
      </c>
      <c r="G637" s="1" t="s">
        <v>40</v>
      </c>
      <c r="H637">
        <v>25560</v>
      </c>
      <c r="I637">
        <v>6</v>
      </c>
      <c r="J637">
        <v>2023</v>
      </c>
      <c r="K637" s="1" t="s">
        <v>863</v>
      </c>
      <c r="L637">
        <v>6</v>
      </c>
      <c r="M637" s="1">
        <v>153360</v>
      </c>
    </row>
    <row r="638" spans="1:13" x14ac:dyDescent="0.3">
      <c r="A638" s="1" t="s">
        <v>695</v>
      </c>
      <c r="B638" s="2">
        <v>44930</v>
      </c>
      <c r="C638" s="1" t="s">
        <v>16</v>
      </c>
      <c r="D638" s="1" t="s">
        <v>17</v>
      </c>
      <c r="E638" s="1" t="s">
        <v>29</v>
      </c>
      <c r="F638" s="1" t="s">
        <v>18</v>
      </c>
      <c r="G638" s="1" t="s">
        <v>23</v>
      </c>
      <c r="H638">
        <v>8250</v>
      </c>
      <c r="I638">
        <v>6</v>
      </c>
      <c r="J638">
        <v>2023</v>
      </c>
      <c r="K638" s="1" t="s">
        <v>868</v>
      </c>
      <c r="L638">
        <v>1</v>
      </c>
      <c r="M638" s="1">
        <v>49500</v>
      </c>
    </row>
    <row r="639" spans="1:13" x14ac:dyDescent="0.3">
      <c r="A639" s="1" t="s">
        <v>696</v>
      </c>
      <c r="B639" s="2">
        <v>45156</v>
      </c>
      <c r="C639" s="1" t="s">
        <v>34</v>
      </c>
      <c r="D639" s="1" t="s">
        <v>35</v>
      </c>
      <c r="E639" s="1" t="s">
        <v>12</v>
      </c>
      <c r="F639" s="1" t="s">
        <v>22</v>
      </c>
      <c r="G639" s="1" t="s">
        <v>14</v>
      </c>
      <c r="H639">
        <v>21906</v>
      </c>
      <c r="I639">
        <v>6</v>
      </c>
      <c r="J639">
        <v>2023</v>
      </c>
      <c r="K639" s="1" t="s">
        <v>874</v>
      </c>
      <c r="L639">
        <v>8</v>
      </c>
      <c r="M639" s="1">
        <v>131436</v>
      </c>
    </row>
    <row r="640" spans="1:13" x14ac:dyDescent="0.3">
      <c r="A640" s="1" t="s">
        <v>697</v>
      </c>
      <c r="B640" s="2">
        <v>44966</v>
      </c>
      <c r="C640" s="1" t="s">
        <v>10</v>
      </c>
      <c r="D640" s="1" t="s">
        <v>11</v>
      </c>
      <c r="E640" s="1" t="s">
        <v>12</v>
      </c>
      <c r="F640" s="1" t="s">
        <v>13</v>
      </c>
      <c r="G640" s="1" t="s">
        <v>23</v>
      </c>
      <c r="H640">
        <v>3014</v>
      </c>
      <c r="I640">
        <v>2</v>
      </c>
      <c r="J640">
        <v>2023</v>
      </c>
      <c r="K640" s="1" t="s">
        <v>871</v>
      </c>
      <c r="L640">
        <v>2</v>
      </c>
      <c r="M640" s="1">
        <v>6028</v>
      </c>
    </row>
    <row r="641" spans="1:13" x14ac:dyDescent="0.3">
      <c r="A641" s="1" t="s">
        <v>698</v>
      </c>
      <c r="B641" s="2">
        <v>45243</v>
      </c>
      <c r="C641" s="1" t="s">
        <v>20</v>
      </c>
      <c r="D641" s="1" t="s">
        <v>21</v>
      </c>
      <c r="E641" s="1" t="s">
        <v>29</v>
      </c>
      <c r="F641" s="1" t="s">
        <v>13</v>
      </c>
      <c r="G641" s="1" t="s">
        <v>40</v>
      </c>
      <c r="H641">
        <v>7196</v>
      </c>
      <c r="I641">
        <v>4</v>
      </c>
      <c r="J641">
        <v>2023</v>
      </c>
      <c r="K641" s="1" t="s">
        <v>873</v>
      </c>
      <c r="L641">
        <v>11</v>
      </c>
      <c r="M641" s="1">
        <v>28784</v>
      </c>
    </row>
    <row r="642" spans="1:13" x14ac:dyDescent="0.3">
      <c r="A642" s="1" t="s">
        <v>699</v>
      </c>
      <c r="B642" s="2">
        <v>45287</v>
      </c>
      <c r="C642" s="1" t="s">
        <v>20</v>
      </c>
      <c r="D642" s="1" t="s">
        <v>21</v>
      </c>
      <c r="E642" s="1" t="s">
        <v>12</v>
      </c>
      <c r="F642" s="1" t="s">
        <v>22</v>
      </c>
      <c r="G642" s="1" t="s">
        <v>40</v>
      </c>
      <c r="H642">
        <v>9664</v>
      </c>
      <c r="I642">
        <v>2</v>
      </c>
      <c r="J642">
        <v>2023</v>
      </c>
      <c r="K642" s="1" t="s">
        <v>869</v>
      </c>
      <c r="L642">
        <v>12</v>
      </c>
      <c r="M642" s="1">
        <v>19328</v>
      </c>
    </row>
    <row r="643" spans="1:13" x14ac:dyDescent="0.3">
      <c r="A643" s="1" t="s">
        <v>700</v>
      </c>
      <c r="B643" s="2">
        <v>45250</v>
      </c>
      <c r="C643" s="1" t="s">
        <v>20</v>
      </c>
      <c r="D643" s="1" t="s">
        <v>21</v>
      </c>
      <c r="E643" s="1" t="s">
        <v>36</v>
      </c>
      <c r="F643" s="1" t="s">
        <v>25</v>
      </c>
      <c r="G643" s="1" t="s">
        <v>14</v>
      </c>
      <c r="H643">
        <v>24273</v>
      </c>
      <c r="I643">
        <v>9</v>
      </c>
      <c r="J643">
        <v>2023</v>
      </c>
      <c r="K643" s="1" t="s">
        <v>873</v>
      </c>
      <c r="L643">
        <v>11</v>
      </c>
      <c r="M643" s="1">
        <v>218457</v>
      </c>
    </row>
    <row r="644" spans="1:13" x14ac:dyDescent="0.3">
      <c r="A644" s="1" t="s">
        <v>701</v>
      </c>
      <c r="B644" s="2">
        <v>45124</v>
      </c>
      <c r="C644" s="1" t="s">
        <v>137</v>
      </c>
      <c r="D644" s="1" t="s">
        <v>138</v>
      </c>
      <c r="E644" s="1" t="s">
        <v>29</v>
      </c>
      <c r="F644" s="1" t="s">
        <v>22</v>
      </c>
      <c r="G644" s="1" t="s">
        <v>23</v>
      </c>
      <c r="H644">
        <v>10920</v>
      </c>
      <c r="I644">
        <v>7</v>
      </c>
      <c r="J644">
        <v>2023</v>
      </c>
      <c r="K644" s="1" t="s">
        <v>864</v>
      </c>
      <c r="L644">
        <v>7</v>
      </c>
      <c r="M644" s="1">
        <v>76440</v>
      </c>
    </row>
    <row r="645" spans="1:13" x14ac:dyDescent="0.3">
      <c r="A645" s="1" t="s">
        <v>702</v>
      </c>
      <c r="B645" s="2">
        <v>45140</v>
      </c>
      <c r="C645" s="1" t="s">
        <v>109</v>
      </c>
      <c r="D645" s="1" t="s">
        <v>110</v>
      </c>
      <c r="E645" s="1" t="s">
        <v>36</v>
      </c>
      <c r="F645" s="1" t="s">
        <v>22</v>
      </c>
      <c r="G645" s="1" t="s">
        <v>40</v>
      </c>
      <c r="H645">
        <v>28422</v>
      </c>
      <c r="I645">
        <v>6</v>
      </c>
      <c r="J645">
        <v>2023</v>
      </c>
      <c r="K645" s="1" t="s">
        <v>874</v>
      </c>
      <c r="L645">
        <v>8</v>
      </c>
      <c r="M645" s="1">
        <v>170532</v>
      </c>
    </row>
    <row r="646" spans="1:13" x14ac:dyDescent="0.3">
      <c r="A646" s="1" t="s">
        <v>703</v>
      </c>
      <c r="B646" s="2">
        <v>44975</v>
      </c>
      <c r="C646" s="1" t="s">
        <v>10</v>
      </c>
      <c r="D646" s="1" t="s">
        <v>11</v>
      </c>
      <c r="E646" s="1" t="s">
        <v>36</v>
      </c>
      <c r="F646" s="1" t="s">
        <v>22</v>
      </c>
      <c r="G646" s="1" t="s">
        <v>23</v>
      </c>
      <c r="H646">
        <v>5635</v>
      </c>
      <c r="I646">
        <v>7</v>
      </c>
      <c r="J646">
        <v>2023</v>
      </c>
      <c r="K646" s="1" t="s">
        <v>871</v>
      </c>
      <c r="L646">
        <v>2</v>
      </c>
      <c r="M646" s="1">
        <v>39445</v>
      </c>
    </row>
    <row r="647" spans="1:13" x14ac:dyDescent="0.3">
      <c r="A647" s="1" t="s">
        <v>704</v>
      </c>
      <c r="B647" s="2">
        <v>45003</v>
      </c>
      <c r="C647" s="1" t="s">
        <v>43</v>
      </c>
      <c r="D647" s="1" t="s">
        <v>44</v>
      </c>
      <c r="E647" s="1" t="s">
        <v>12</v>
      </c>
      <c r="F647" s="1" t="s">
        <v>25</v>
      </c>
      <c r="G647" s="1" t="s">
        <v>40</v>
      </c>
      <c r="H647">
        <v>14864</v>
      </c>
      <c r="I647">
        <v>8</v>
      </c>
      <c r="J647">
        <v>2023</v>
      </c>
      <c r="K647" s="1" t="s">
        <v>870</v>
      </c>
      <c r="L647">
        <v>3</v>
      </c>
      <c r="M647" s="1">
        <v>118912</v>
      </c>
    </row>
    <row r="648" spans="1:13" x14ac:dyDescent="0.3">
      <c r="A648" s="1" t="s">
        <v>705</v>
      </c>
      <c r="B648" s="2">
        <v>45062</v>
      </c>
      <c r="C648" s="1" t="s">
        <v>43</v>
      </c>
      <c r="D648" s="1" t="s">
        <v>44</v>
      </c>
      <c r="E648" s="1" t="s">
        <v>29</v>
      </c>
      <c r="F648" s="1" t="s">
        <v>25</v>
      </c>
      <c r="G648" s="1" t="s">
        <v>14</v>
      </c>
      <c r="H648">
        <v>6932</v>
      </c>
      <c r="I648">
        <v>2</v>
      </c>
      <c r="J648">
        <v>2023</v>
      </c>
      <c r="K648" s="1" t="s">
        <v>872</v>
      </c>
      <c r="L648">
        <v>5</v>
      </c>
      <c r="M648" s="1">
        <v>13864</v>
      </c>
    </row>
    <row r="649" spans="1:13" x14ac:dyDescent="0.3">
      <c r="A649" s="1" t="s">
        <v>706</v>
      </c>
      <c r="B649" s="2">
        <v>45031</v>
      </c>
      <c r="C649" s="1" t="s">
        <v>34</v>
      </c>
      <c r="D649" s="1" t="s">
        <v>35</v>
      </c>
      <c r="E649" s="1" t="s">
        <v>36</v>
      </c>
      <c r="F649" s="1" t="s">
        <v>13</v>
      </c>
      <c r="G649" s="1" t="s">
        <v>14</v>
      </c>
      <c r="H649">
        <v>1577</v>
      </c>
      <c r="I649">
        <v>1</v>
      </c>
      <c r="J649">
        <v>2023</v>
      </c>
      <c r="K649" s="1" t="s">
        <v>867</v>
      </c>
      <c r="L649">
        <v>4</v>
      </c>
      <c r="M649" s="1">
        <v>1577</v>
      </c>
    </row>
    <row r="650" spans="1:13" x14ac:dyDescent="0.3">
      <c r="A650" s="1" t="s">
        <v>707</v>
      </c>
      <c r="B650" s="2">
        <v>45070</v>
      </c>
      <c r="C650" s="1" t="s">
        <v>50</v>
      </c>
      <c r="D650" s="1" t="s">
        <v>51</v>
      </c>
      <c r="E650" s="1" t="s">
        <v>36</v>
      </c>
      <c r="F650" s="1" t="s">
        <v>13</v>
      </c>
      <c r="G650" s="1" t="s">
        <v>40</v>
      </c>
      <c r="H650">
        <v>1003</v>
      </c>
      <c r="I650">
        <v>1</v>
      </c>
      <c r="J650">
        <v>2023</v>
      </c>
      <c r="K650" s="1" t="s">
        <v>872</v>
      </c>
      <c r="L650">
        <v>5</v>
      </c>
      <c r="M650" s="1">
        <v>1003</v>
      </c>
    </row>
    <row r="651" spans="1:13" x14ac:dyDescent="0.3">
      <c r="A651" s="1" t="s">
        <v>708</v>
      </c>
      <c r="B651" s="2">
        <v>45031</v>
      </c>
      <c r="C651" s="1" t="s">
        <v>67</v>
      </c>
      <c r="D651" s="1" t="s">
        <v>68</v>
      </c>
      <c r="E651" s="1" t="s">
        <v>29</v>
      </c>
      <c r="F651" s="1" t="s">
        <v>18</v>
      </c>
      <c r="G651" s="1" t="s">
        <v>14</v>
      </c>
      <c r="H651">
        <v>16168</v>
      </c>
      <c r="I651">
        <v>4</v>
      </c>
      <c r="J651">
        <v>2023</v>
      </c>
      <c r="K651" s="1" t="s">
        <v>867</v>
      </c>
      <c r="L651">
        <v>4</v>
      </c>
      <c r="M651" s="1">
        <v>64672</v>
      </c>
    </row>
    <row r="652" spans="1:13" x14ac:dyDescent="0.3">
      <c r="A652" s="1" t="s">
        <v>709</v>
      </c>
      <c r="B652" s="2">
        <v>44927</v>
      </c>
      <c r="C652" s="1" t="s">
        <v>43</v>
      </c>
      <c r="D652" s="1" t="s">
        <v>44</v>
      </c>
      <c r="E652" s="1" t="s">
        <v>12</v>
      </c>
      <c r="F652" s="1" t="s">
        <v>22</v>
      </c>
      <c r="G652" s="1" t="s">
        <v>14</v>
      </c>
      <c r="H652">
        <v>4145</v>
      </c>
      <c r="I652">
        <v>1</v>
      </c>
      <c r="J652">
        <v>2023</v>
      </c>
      <c r="K652" s="1" t="s">
        <v>868</v>
      </c>
      <c r="L652">
        <v>1</v>
      </c>
      <c r="M652" s="1">
        <v>4145</v>
      </c>
    </row>
    <row r="653" spans="1:13" x14ac:dyDescent="0.3">
      <c r="A653" s="1" t="s">
        <v>710</v>
      </c>
      <c r="B653" s="2">
        <v>45046</v>
      </c>
      <c r="C653" s="1" t="s">
        <v>73</v>
      </c>
      <c r="D653" s="1" t="s">
        <v>74</v>
      </c>
      <c r="E653" s="1" t="s">
        <v>36</v>
      </c>
      <c r="F653" s="1" t="s">
        <v>18</v>
      </c>
      <c r="G653" s="1" t="s">
        <v>23</v>
      </c>
      <c r="H653">
        <v>4864</v>
      </c>
      <c r="I653">
        <v>1</v>
      </c>
      <c r="J653">
        <v>2023</v>
      </c>
      <c r="K653" s="1" t="s">
        <v>867</v>
      </c>
      <c r="L653">
        <v>4</v>
      </c>
      <c r="M653" s="1">
        <v>4864</v>
      </c>
    </row>
    <row r="654" spans="1:13" x14ac:dyDescent="0.3">
      <c r="A654" s="1" t="s">
        <v>711</v>
      </c>
      <c r="B654" s="2">
        <v>45069</v>
      </c>
      <c r="C654" s="1" t="s">
        <v>27</v>
      </c>
      <c r="D654" s="1" t="s">
        <v>28</v>
      </c>
      <c r="E654" s="1" t="s">
        <v>29</v>
      </c>
      <c r="F654" s="1" t="s">
        <v>25</v>
      </c>
      <c r="G654" s="1" t="s">
        <v>14</v>
      </c>
      <c r="H654">
        <v>10190</v>
      </c>
      <c r="I654">
        <v>10</v>
      </c>
      <c r="J654">
        <v>2023</v>
      </c>
      <c r="K654" s="1" t="s">
        <v>872</v>
      </c>
      <c r="L654">
        <v>5</v>
      </c>
      <c r="M654" s="1">
        <v>101900</v>
      </c>
    </row>
    <row r="655" spans="1:13" x14ac:dyDescent="0.3">
      <c r="A655" s="1" t="s">
        <v>712</v>
      </c>
      <c r="B655" s="2">
        <v>45204</v>
      </c>
      <c r="C655" s="1" t="s">
        <v>137</v>
      </c>
      <c r="D655" s="1" t="s">
        <v>138</v>
      </c>
      <c r="E655" s="1" t="s">
        <v>36</v>
      </c>
      <c r="F655" s="1" t="s">
        <v>18</v>
      </c>
      <c r="G655" s="1" t="s">
        <v>40</v>
      </c>
      <c r="H655">
        <v>20448</v>
      </c>
      <c r="I655">
        <v>9</v>
      </c>
      <c r="J655">
        <v>2023</v>
      </c>
      <c r="K655" s="1" t="s">
        <v>865</v>
      </c>
      <c r="L655">
        <v>10</v>
      </c>
      <c r="M655" s="1">
        <v>184032</v>
      </c>
    </row>
    <row r="656" spans="1:13" x14ac:dyDescent="0.3">
      <c r="A656" s="1" t="s">
        <v>713</v>
      </c>
      <c r="B656" s="2">
        <v>45165</v>
      </c>
      <c r="C656" s="1" t="s">
        <v>34</v>
      </c>
      <c r="D656" s="1" t="s">
        <v>35</v>
      </c>
      <c r="E656" s="1" t="s">
        <v>12</v>
      </c>
      <c r="F656" s="1" t="s">
        <v>13</v>
      </c>
      <c r="G656" s="1" t="s">
        <v>14</v>
      </c>
      <c r="H656">
        <v>13960</v>
      </c>
      <c r="I656">
        <v>5</v>
      </c>
      <c r="J656">
        <v>2023</v>
      </c>
      <c r="K656" s="1" t="s">
        <v>874</v>
      </c>
      <c r="L656">
        <v>8</v>
      </c>
      <c r="M656" s="1">
        <v>69800</v>
      </c>
    </row>
    <row r="657" spans="1:13" x14ac:dyDescent="0.3">
      <c r="A657" s="1" t="s">
        <v>714</v>
      </c>
      <c r="B657" s="2">
        <v>45184</v>
      </c>
      <c r="C657" s="1" t="s">
        <v>67</v>
      </c>
      <c r="D657" s="1" t="s">
        <v>68</v>
      </c>
      <c r="E657" s="1" t="s">
        <v>12</v>
      </c>
      <c r="F657" s="1" t="s">
        <v>13</v>
      </c>
      <c r="G657" s="1" t="s">
        <v>14</v>
      </c>
      <c r="H657">
        <v>10435</v>
      </c>
      <c r="I657">
        <v>5</v>
      </c>
      <c r="J657">
        <v>2023</v>
      </c>
      <c r="K657" s="1" t="s">
        <v>866</v>
      </c>
      <c r="L657">
        <v>9</v>
      </c>
      <c r="M657" s="1">
        <v>52175</v>
      </c>
    </row>
    <row r="658" spans="1:13" x14ac:dyDescent="0.3">
      <c r="A658" s="1" t="s">
        <v>715</v>
      </c>
      <c r="B658" s="2">
        <v>45074</v>
      </c>
      <c r="C658" s="1" t="s">
        <v>43</v>
      </c>
      <c r="D658" s="1" t="s">
        <v>44</v>
      </c>
      <c r="E658" s="1" t="s">
        <v>29</v>
      </c>
      <c r="F658" s="1" t="s">
        <v>13</v>
      </c>
      <c r="G658" s="1" t="s">
        <v>23</v>
      </c>
      <c r="H658">
        <v>16840</v>
      </c>
      <c r="I658">
        <v>5</v>
      </c>
      <c r="J658">
        <v>2023</v>
      </c>
      <c r="K658" s="1" t="s">
        <v>872</v>
      </c>
      <c r="L658">
        <v>5</v>
      </c>
      <c r="M658" s="1">
        <v>84200</v>
      </c>
    </row>
    <row r="659" spans="1:13" x14ac:dyDescent="0.3">
      <c r="A659" s="1" t="s">
        <v>716</v>
      </c>
      <c r="B659" s="2">
        <v>44950</v>
      </c>
      <c r="C659" s="1" t="s">
        <v>61</v>
      </c>
      <c r="D659" s="1" t="s">
        <v>62</v>
      </c>
      <c r="E659" s="1" t="s">
        <v>12</v>
      </c>
      <c r="F659" s="1" t="s">
        <v>18</v>
      </c>
      <c r="G659" s="1" t="s">
        <v>14</v>
      </c>
      <c r="H659">
        <v>3622</v>
      </c>
      <c r="I659">
        <v>2</v>
      </c>
      <c r="J659">
        <v>2023</v>
      </c>
      <c r="K659" s="1" t="s">
        <v>868</v>
      </c>
      <c r="L659">
        <v>1</v>
      </c>
      <c r="M659" s="1">
        <v>7244</v>
      </c>
    </row>
    <row r="660" spans="1:13" x14ac:dyDescent="0.3">
      <c r="A660" s="1" t="s">
        <v>717</v>
      </c>
      <c r="B660" s="2">
        <v>45196</v>
      </c>
      <c r="C660" s="1" t="s">
        <v>31</v>
      </c>
      <c r="D660" s="1" t="s">
        <v>32</v>
      </c>
      <c r="E660" s="1" t="s">
        <v>12</v>
      </c>
      <c r="F660" s="1" t="s">
        <v>25</v>
      </c>
      <c r="G660" s="1" t="s">
        <v>14</v>
      </c>
      <c r="H660">
        <v>46450</v>
      </c>
      <c r="I660">
        <v>10</v>
      </c>
      <c r="J660">
        <v>2023</v>
      </c>
      <c r="K660" s="1" t="s">
        <v>866</v>
      </c>
      <c r="L660">
        <v>9</v>
      </c>
      <c r="M660" s="1">
        <v>464500</v>
      </c>
    </row>
    <row r="661" spans="1:13" x14ac:dyDescent="0.3">
      <c r="A661" s="1" t="s">
        <v>718</v>
      </c>
      <c r="B661" s="2">
        <v>44965</v>
      </c>
      <c r="C661" s="1" t="s">
        <v>73</v>
      </c>
      <c r="D661" s="1" t="s">
        <v>74</v>
      </c>
      <c r="E661" s="1" t="s">
        <v>12</v>
      </c>
      <c r="F661" s="1" t="s">
        <v>18</v>
      </c>
      <c r="G661" s="1" t="s">
        <v>40</v>
      </c>
      <c r="H661">
        <v>9956</v>
      </c>
      <c r="I661">
        <v>4</v>
      </c>
      <c r="J661">
        <v>2023</v>
      </c>
      <c r="K661" s="1" t="s">
        <v>871</v>
      </c>
      <c r="L661">
        <v>2</v>
      </c>
      <c r="M661" s="1">
        <v>39824</v>
      </c>
    </row>
    <row r="662" spans="1:13" x14ac:dyDescent="0.3">
      <c r="A662" s="1" t="s">
        <v>719</v>
      </c>
      <c r="B662" s="2">
        <v>45118</v>
      </c>
      <c r="C662" s="1" t="s">
        <v>53</v>
      </c>
      <c r="D662" s="1" t="s">
        <v>54</v>
      </c>
      <c r="E662" s="1" t="s">
        <v>36</v>
      </c>
      <c r="F662" s="1" t="s">
        <v>22</v>
      </c>
      <c r="G662" s="1" t="s">
        <v>14</v>
      </c>
      <c r="H662">
        <v>6790</v>
      </c>
      <c r="I662">
        <v>7</v>
      </c>
      <c r="J662">
        <v>2023</v>
      </c>
      <c r="K662" s="1" t="s">
        <v>864</v>
      </c>
      <c r="L662">
        <v>7</v>
      </c>
      <c r="M662" s="1">
        <v>47530</v>
      </c>
    </row>
    <row r="663" spans="1:13" x14ac:dyDescent="0.3">
      <c r="A663" s="1" t="s">
        <v>720</v>
      </c>
      <c r="B663" s="2">
        <v>45133</v>
      </c>
      <c r="C663" s="1" t="s">
        <v>64</v>
      </c>
      <c r="D663" s="1" t="s">
        <v>65</v>
      </c>
      <c r="E663" s="1" t="s">
        <v>12</v>
      </c>
      <c r="F663" s="1" t="s">
        <v>25</v>
      </c>
      <c r="G663" s="1" t="s">
        <v>23</v>
      </c>
      <c r="H663">
        <v>8421</v>
      </c>
      <c r="I663">
        <v>7</v>
      </c>
      <c r="J663">
        <v>2023</v>
      </c>
      <c r="K663" s="1" t="s">
        <v>864</v>
      </c>
      <c r="L663">
        <v>7</v>
      </c>
      <c r="M663" s="1">
        <v>58947</v>
      </c>
    </row>
    <row r="664" spans="1:13" x14ac:dyDescent="0.3">
      <c r="A664" s="1" t="s">
        <v>721</v>
      </c>
      <c r="B664" s="2">
        <v>45210</v>
      </c>
      <c r="C664" s="1" t="s">
        <v>64</v>
      </c>
      <c r="D664" s="1" t="s">
        <v>65</v>
      </c>
      <c r="E664" s="1" t="s">
        <v>12</v>
      </c>
      <c r="F664" s="1" t="s">
        <v>25</v>
      </c>
      <c r="G664" s="1" t="s">
        <v>40</v>
      </c>
      <c r="H664">
        <v>5223</v>
      </c>
      <c r="I664">
        <v>3</v>
      </c>
      <c r="J664">
        <v>2023</v>
      </c>
      <c r="K664" s="1" t="s">
        <v>865</v>
      </c>
      <c r="L664">
        <v>10</v>
      </c>
      <c r="M664" s="1">
        <v>15669</v>
      </c>
    </row>
    <row r="665" spans="1:13" x14ac:dyDescent="0.3">
      <c r="A665" s="1" t="s">
        <v>722</v>
      </c>
      <c r="B665" s="2">
        <v>45154</v>
      </c>
      <c r="C665" s="1" t="s">
        <v>77</v>
      </c>
      <c r="D665" s="1" t="s">
        <v>78</v>
      </c>
      <c r="E665" s="1" t="s">
        <v>29</v>
      </c>
      <c r="F665" s="1" t="s">
        <v>25</v>
      </c>
      <c r="G665" s="1" t="s">
        <v>40</v>
      </c>
      <c r="H665">
        <v>2400</v>
      </c>
      <c r="I665">
        <v>2</v>
      </c>
      <c r="J665">
        <v>2023</v>
      </c>
      <c r="K665" s="1" t="s">
        <v>874</v>
      </c>
      <c r="L665">
        <v>8</v>
      </c>
      <c r="M665" s="1">
        <v>4800</v>
      </c>
    </row>
    <row r="666" spans="1:13" x14ac:dyDescent="0.3">
      <c r="A666" s="1" t="s">
        <v>723</v>
      </c>
      <c r="B666" s="2">
        <v>44945</v>
      </c>
      <c r="C666" s="1" t="s">
        <v>16</v>
      </c>
      <c r="D666" s="1" t="s">
        <v>17</v>
      </c>
      <c r="E666" s="1" t="s">
        <v>29</v>
      </c>
      <c r="F666" s="1" t="s">
        <v>13</v>
      </c>
      <c r="G666" s="1" t="s">
        <v>23</v>
      </c>
      <c r="H666">
        <v>10635</v>
      </c>
      <c r="I666">
        <v>5</v>
      </c>
      <c r="J666">
        <v>2023</v>
      </c>
      <c r="K666" s="1" t="s">
        <v>868</v>
      </c>
      <c r="L666">
        <v>1</v>
      </c>
      <c r="M666" s="1">
        <v>53175</v>
      </c>
    </row>
    <row r="667" spans="1:13" x14ac:dyDescent="0.3">
      <c r="A667" s="1" t="s">
        <v>724</v>
      </c>
      <c r="B667" s="2">
        <v>44971</v>
      </c>
      <c r="C667" s="1" t="s">
        <v>53</v>
      </c>
      <c r="D667" s="1" t="s">
        <v>54</v>
      </c>
      <c r="E667" s="1" t="s">
        <v>36</v>
      </c>
      <c r="F667" s="1" t="s">
        <v>18</v>
      </c>
      <c r="G667" s="1" t="s">
        <v>40</v>
      </c>
      <c r="H667">
        <v>19760</v>
      </c>
      <c r="I667">
        <v>10</v>
      </c>
      <c r="J667">
        <v>2023</v>
      </c>
      <c r="K667" s="1" t="s">
        <v>871</v>
      </c>
      <c r="L667">
        <v>2</v>
      </c>
      <c r="M667" s="1">
        <v>197600</v>
      </c>
    </row>
    <row r="668" spans="1:13" x14ac:dyDescent="0.3">
      <c r="A668" s="1" t="s">
        <v>725</v>
      </c>
      <c r="B668" s="2">
        <v>45125</v>
      </c>
      <c r="C668" s="1" t="s">
        <v>77</v>
      </c>
      <c r="D668" s="1" t="s">
        <v>78</v>
      </c>
      <c r="E668" s="1" t="s">
        <v>12</v>
      </c>
      <c r="F668" s="1" t="s">
        <v>13</v>
      </c>
      <c r="G668" s="1" t="s">
        <v>14</v>
      </c>
      <c r="H668">
        <v>11931</v>
      </c>
      <c r="I668">
        <v>3</v>
      </c>
      <c r="J668">
        <v>2023</v>
      </c>
      <c r="K668" s="1" t="s">
        <v>864</v>
      </c>
      <c r="L668">
        <v>7</v>
      </c>
      <c r="M668" s="1">
        <v>35793</v>
      </c>
    </row>
    <row r="669" spans="1:13" x14ac:dyDescent="0.3">
      <c r="A669" s="1" t="s">
        <v>726</v>
      </c>
      <c r="B669" s="2">
        <v>45162</v>
      </c>
      <c r="C669" s="1" t="s">
        <v>47</v>
      </c>
      <c r="D669" s="1" t="s">
        <v>48</v>
      </c>
      <c r="E669" s="1" t="s">
        <v>29</v>
      </c>
      <c r="F669" s="1" t="s">
        <v>13</v>
      </c>
      <c r="G669" s="1" t="s">
        <v>40</v>
      </c>
      <c r="H669">
        <v>2070</v>
      </c>
      <c r="I669">
        <v>1</v>
      </c>
      <c r="J669">
        <v>2023</v>
      </c>
      <c r="K669" s="1" t="s">
        <v>874</v>
      </c>
      <c r="L669">
        <v>8</v>
      </c>
      <c r="M669" s="1">
        <v>2070</v>
      </c>
    </row>
    <row r="670" spans="1:13" x14ac:dyDescent="0.3">
      <c r="A670" s="1" t="s">
        <v>727</v>
      </c>
      <c r="B670" s="2">
        <v>45103</v>
      </c>
      <c r="C670" s="1" t="s">
        <v>73</v>
      </c>
      <c r="D670" s="1" t="s">
        <v>74</v>
      </c>
      <c r="E670" s="1" t="s">
        <v>12</v>
      </c>
      <c r="F670" s="1" t="s">
        <v>22</v>
      </c>
      <c r="G670" s="1" t="s">
        <v>23</v>
      </c>
      <c r="H670">
        <v>8800</v>
      </c>
      <c r="I670">
        <v>4</v>
      </c>
      <c r="J670">
        <v>2023</v>
      </c>
      <c r="K670" s="1" t="s">
        <v>863</v>
      </c>
      <c r="L670">
        <v>6</v>
      </c>
      <c r="M670" s="1">
        <v>35200</v>
      </c>
    </row>
    <row r="671" spans="1:13" x14ac:dyDescent="0.3">
      <c r="A671" s="1" t="s">
        <v>728</v>
      </c>
      <c r="B671" s="2">
        <v>45268</v>
      </c>
      <c r="C671" s="1" t="s">
        <v>38</v>
      </c>
      <c r="D671" s="1" t="s">
        <v>39</v>
      </c>
      <c r="E671" s="1" t="s">
        <v>12</v>
      </c>
      <c r="F671" s="1" t="s">
        <v>18</v>
      </c>
      <c r="G671" s="1" t="s">
        <v>14</v>
      </c>
      <c r="H671">
        <v>26088</v>
      </c>
      <c r="I671">
        <v>8</v>
      </c>
      <c r="J671">
        <v>2023</v>
      </c>
      <c r="K671" s="1" t="s">
        <v>869</v>
      </c>
      <c r="L671">
        <v>12</v>
      </c>
      <c r="M671" s="1">
        <v>208704</v>
      </c>
    </row>
    <row r="672" spans="1:13" x14ac:dyDescent="0.3">
      <c r="A672" s="1" t="s">
        <v>729</v>
      </c>
      <c r="B672" s="2">
        <v>44927</v>
      </c>
      <c r="C672" s="1" t="s">
        <v>77</v>
      </c>
      <c r="D672" s="1" t="s">
        <v>78</v>
      </c>
      <c r="E672" s="1" t="s">
        <v>36</v>
      </c>
      <c r="F672" s="1" t="s">
        <v>22</v>
      </c>
      <c r="G672" s="1" t="s">
        <v>40</v>
      </c>
      <c r="H672">
        <v>1038</v>
      </c>
      <c r="I672">
        <v>1</v>
      </c>
      <c r="J672">
        <v>2023</v>
      </c>
      <c r="K672" s="1" t="s">
        <v>868</v>
      </c>
      <c r="L672">
        <v>1</v>
      </c>
      <c r="M672" s="1">
        <v>1038</v>
      </c>
    </row>
    <row r="673" spans="1:13" x14ac:dyDescent="0.3">
      <c r="A673" s="1" t="s">
        <v>730</v>
      </c>
      <c r="B673" s="2">
        <v>45207</v>
      </c>
      <c r="C673" s="1" t="s">
        <v>38</v>
      </c>
      <c r="D673" s="1" t="s">
        <v>39</v>
      </c>
      <c r="E673" s="1" t="s">
        <v>29</v>
      </c>
      <c r="F673" s="1" t="s">
        <v>18</v>
      </c>
      <c r="G673" s="1" t="s">
        <v>40</v>
      </c>
      <c r="H673">
        <v>21820</v>
      </c>
      <c r="I673">
        <v>10</v>
      </c>
      <c r="J673">
        <v>2023</v>
      </c>
      <c r="K673" s="1" t="s">
        <v>865</v>
      </c>
      <c r="L673">
        <v>10</v>
      </c>
      <c r="M673" s="1">
        <v>218200</v>
      </c>
    </row>
    <row r="674" spans="1:13" x14ac:dyDescent="0.3">
      <c r="A674" s="1" t="s">
        <v>731</v>
      </c>
      <c r="B674" s="2">
        <v>45237</v>
      </c>
      <c r="C674" s="1" t="s">
        <v>77</v>
      </c>
      <c r="D674" s="1" t="s">
        <v>78</v>
      </c>
      <c r="E674" s="1" t="s">
        <v>36</v>
      </c>
      <c r="F674" s="1" t="s">
        <v>13</v>
      </c>
      <c r="G674" s="1" t="s">
        <v>23</v>
      </c>
      <c r="H674">
        <v>44964</v>
      </c>
      <c r="I674">
        <v>9</v>
      </c>
      <c r="J674">
        <v>2023</v>
      </c>
      <c r="K674" s="1" t="s">
        <v>873</v>
      </c>
      <c r="L674">
        <v>11</v>
      </c>
      <c r="M674" s="1">
        <v>404676</v>
      </c>
    </row>
    <row r="675" spans="1:13" x14ac:dyDescent="0.3">
      <c r="A675" s="1" t="s">
        <v>732</v>
      </c>
      <c r="B675" s="2">
        <v>45059</v>
      </c>
      <c r="C675" s="1" t="s">
        <v>38</v>
      </c>
      <c r="D675" s="1" t="s">
        <v>39</v>
      </c>
      <c r="E675" s="1" t="s">
        <v>12</v>
      </c>
      <c r="F675" s="1" t="s">
        <v>25</v>
      </c>
      <c r="G675" s="1" t="s">
        <v>23</v>
      </c>
      <c r="H675">
        <v>21448</v>
      </c>
      <c r="I675">
        <v>8</v>
      </c>
      <c r="J675">
        <v>2023</v>
      </c>
      <c r="K675" s="1" t="s">
        <v>872</v>
      </c>
      <c r="L675">
        <v>5</v>
      </c>
      <c r="M675" s="1">
        <v>171584</v>
      </c>
    </row>
    <row r="676" spans="1:13" x14ac:dyDescent="0.3">
      <c r="A676" s="1" t="s">
        <v>733</v>
      </c>
      <c r="B676" s="2">
        <v>45164</v>
      </c>
      <c r="C676" s="1" t="s">
        <v>77</v>
      </c>
      <c r="D676" s="1" t="s">
        <v>78</v>
      </c>
      <c r="E676" s="1" t="s">
        <v>12</v>
      </c>
      <c r="F676" s="1" t="s">
        <v>13</v>
      </c>
      <c r="G676" s="1" t="s">
        <v>23</v>
      </c>
      <c r="H676">
        <v>28908</v>
      </c>
      <c r="I676">
        <v>6</v>
      </c>
      <c r="J676">
        <v>2023</v>
      </c>
      <c r="K676" s="1" t="s">
        <v>874</v>
      </c>
      <c r="L676">
        <v>8</v>
      </c>
      <c r="M676" s="1">
        <v>173448</v>
      </c>
    </row>
    <row r="677" spans="1:13" x14ac:dyDescent="0.3">
      <c r="A677" s="1" t="s">
        <v>734</v>
      </c>
      <c r="B677" s="2">
        <v>44960</v>
      </c>
      <c r="C677" s="1" t="s">
        <v>64</v>
      </c>
      <c r="D677" s="1" t="s">
        <v>65</v>
      </c>
      <c r="E677" s="1" t="s">
        <v>12</v>
      </c>
      <c r="F677" s="1" t="s">
        <v>22</v>
      </c>
      <c r="G677" s="1" t="s">
        <v>40</v>
      </c>
      <c r="H677">
        <v>15448</v>
      </c>
      <c r="I677">
        <v>8</v>
      </c>
      <c r="J677">
        <v>2023</v>
      </c>
      <c r="K677" s="1" t="s">
        <v>871</v>
      </c>
      <c r="L677">
        <v>2</v>
      </c>
      <c r="M677" s="1">
        <v>123584</v>
      </c>
    </row>
    <row r="678" spans="1:13" x14ac:dyDescent="0.3">
      <c r="A678" s="1" t="s">
        <v>735</v>
      </c>
      <c r="B678" s="2">
        <v>44933</v>
      </c>
      <c r="C678" s="1" t="s">
        <v>43</v>
      </c>
      <c r="D678" s="1" t="s">
        <v>44</v>
      </c>
      <c r="E678" s="1" t="s">
        <v>12</v>
      </c>
      <c r="F678" s="1" t="s">
        <v>13</v>
      </c>
      <c r="G678" s="1" t="s">
        <v>23</v>
      </c>
      <c r="H678">
        <v>17232</v>
      </c>
      <c r="I678">
        <v>4</v>
      </c>
      <c r="J678">
        <v>2023</v>
      </c>
      <c r="K678" s="1" t="s">
        <v>868</v>
      </c>
      <c r="L678">
        <v>1</v>
      </c>
      <c r="M678" s="1">
        <v>68928</v>
      </c>
    </row>
    <row r="679" spans="1:13" x14ac:dyDescent="0.3">
      <c r="A679" s="1" t="s">
        <v>736</v>
      </c>
      <c r="B679" s="2">
        <v>45173</v>
      </c>
      <c r="C679" s="1" t="s">
        <v>73</v>
      </c>
      <c r="D679" s="1" t="s">
        <v>74</v>
      </c>
      <c r="E679" s="1" t="s">
        <v>29</v>
      </c>
      <c r="F679" s="1" t="s">
        <v>22</v>
      </c>
      <c r="G679" s="1" t="s">
        <v>40</v>
      </c>
      <c r="H679">
        <v>17992</v>
      </c>
      <c r="I679">
        <v>4</v>
      </c>
      <c r="J679">
        <v>2023</v>
      </c>
      <c r="K679" s="1" t="s">
        <v>866</v>
      </c>
      <c r="L679">
        <v>9</v>
      </c>
      <c r="M679" s="1">
        <v>71968</v>
      </c>
    </row>
    <row r="680" spans="1:13" x14ac:dyDescent="0.3">
      <c r="A680" s="1" t="s">
        <v>737</v>
      </c>
      <c r="B680" s="2">
        <v>45020</v>
      </c>
      <c r="C680" s="1" t="s">
        <v>53</v>
      </c>
      <c r="D680" s="1" t="s">
        <v>54</v>
      </c>
      <c r="E680" s="1" t="s">
        <v>12</v>
      </c>
      <c r="F680" s="1" t="s">
        <v>18</v>
      </c>
      <c r="G680" s="1" t="s">
        <v>23</v>
      </c>
      <c r="H680">
        <v>27488</v>
      </c>
      <c r="I680">
        <v>8</v>
      </c>
      <c r="J680">
        <v>2023</v>
      </c>
      <c r="K680" s="1" t="s">
        <v>867</v>
      </c>
      <c r="L680">
        <v>4</v>
      </c>
      <c r="M680" s="1">
        <v>219904</v>
      </c>
    </row>
    <row r="681" spans="1:13" x14ac:dyDescent="0.3">
      <c r="A681" s="1" t="s">
        <v>738</v>
      </c>
      <c r="B681" s="2">
        <v>45129</v>
      </c>
      <c r="C681" s="1" t="s">
        <v>123</v>
      </c>
      <c r="D681" s="1" t="s">
        <v>124</v>
      </c>
      <c r="E681" s="1" t="s">
        <v>36</v>
      </c>
      <c r="F681" s="1" t="s">
        <v>25</v>
      </c>
      <c r="G681" s="1" t="s">
        <v>40</v>
      </c>
      <c r="H681">
        <v>16555</v>
      </c>
      <c r="I681">
        <v>5</v>
      </c>
      <c r="J681">
        <v>2023</v>
      </c>
      <c r="K681" s="1" t="s">
        <v>864</v>
      </c>
      <c r="L681">
        <v>7</v>
      </c>
      <c r="M681" s="1">
        <v>82775</v>
      </c>
    </row>
    <row r="682" spans="1:13" x14ac:dyDescent="0.3">
      <c r="A682" s="1" t="s">
        <v>739</v>
      </c>
      <c r="B682" s="2">
        <v>44942</v>
      </c>
      <c r="C682" s="1" t="s">
        <v>53</v>
      </c>
      <c r="D682" s="1" t="s">
        <v>54</v>
      </c>
      <c r="E682" s="1" t="s">
        <v>29</v>
      </c>
      <c r="F682" s="1" t="s">
        <v>25</v>
      </c>
      <c r="G682" s="1" t="s">
        <v>23</v>
      </c>
      <c r="H682">
        <v>29624</v>
      </c>
      <c r="I682">
        <v>8</v>
      </c>
      <c r="J682">
        <v>2023</v>
      </c>
      <c r="K682" s="1" t="s">
        <v>868</v>
      </c>
      <c r="L682">
        <v>1</v>
      </c>
      <c r="M682" s="1">
        <v>236992</v>
      </c>
    </row>
    <row r="683" spans="1:13" x14ac:dyDescent="0.3">
      <c r="A683" s="1" t="s">
        <v>740</v>
      </c>
      <c r="B683" s="2">
        <v>44980</v>
      </c>
      <c r="C683" s="1" t="s">
        <v>20</v>
      </c>
      <c r="D683" s="1" t="s">
        <v>21</v>
      </c>
      <c r="E683" s="1" t="s">
        <v>36</v>
      </c>
      <c r="F683" s="1" t="s">
        <v>25</v>
      </c>
      <c r="G683" s="1" t="s">
        <v>40</v>
      </c>
      <c r="H683">
        <v>13350</v>
      </c>
      <c r="I683">
        <v>5</v>
      </c>
      <c r="J683">
        <v>2023</v>
      </c>
      <c r="K683" s="1" t="s">
        <v>871</v>
      </c>
      <c r="L683">
        <v>2</v>
      </c>
      <c r="M683" s="1">
        <v>66750</v>
      </c>
    </row>
    <row r="684" spans="1:13" x14ac:dyDescent="0.3">
      <c r="A684" s="1" t="s">
        <v>741</v>
      </c>
      <c r="B684" s="2">
        <v>44943</v>
      </c>
      <c r="C684" s="1" t="s">
        <v>20</v>
      </c>
      <c r="D684" s="1" t="s">
        <v>21</v>
      </c>
      <c r="E684" s="1" t="s">
        <v>29</v>
      </c>
      <c r="F684" s="1" t="s">
        <v>25</v>
      </c>
      <c r="G684" s="1" t="s">
        <v>23</v>
      </c>
      <c r="H684">
        <v>24600</v>
      </c>
      <c r="I684">
        <v>10</v>
      </c>
      <c r="J684">
        <v>2023</v>
      </c>
      <c r="K684" s="1" t="s">
        <v>868</v>
      </c>
      <c r="L684">
        <v>1</v>
      </c>
      <c r="M684" s="1">
        <v>246000</v>
      </c>
    </row>
    <row r="685" spans="1:13" x14ac:dyDescent="0.3">
      <c r="A685" s="1" t="s">
        <v>742</v>
      </c>
      <c r="B685" s="2">
        <v>45004</v>
      </c>
      <c r="C685" s="1" t="s">
        <v>137</v>
      </c>
      <c r="D685" s="1" t="s">
        <v>138</v>
      </c>
      <c r="E685" s="1" t="s">
        <v>36</v>
      </c>
      <c r="F685" s="1" t="s">
        <v>22</v>
      </c>
      <c r="G685" s="1" t="s">
        <v>14</v>
      </c>
      <c r="H685">
        <v>9060</v>
      </c>
      <c r="I685">
        <v>2</v>
      </c>
      <c r="J685">
        <v>2023</v>
      </c>
      <c r="K685" s="1" t="s">
        <v>870</v>
      </c>
      <c r="L685">
        <v>3</v>
      </c>
      <c r="M685" s="1">
        <v>18120</v>
      </c>
    </row>
    <row r="686" spans="1:13" x14ac:dyDescent="0.3">
      <c r="A686" s="1" t="s">
        <v>743</v>
      </c>
      <c r="B686" s="2">
        <v>45252</v>
      </c>
      <c r="C686" s="1" t="s">
        <v>20</v>
      </c>
      <c r="D686" s="1" t="s">
        <v>21</v>
      </c>
      <c r="E686" s="1" t="s">
        <v>36</v>
      </c>
      <c r="F686" s="1" t="s">
        <v>18</v>
      </c>
      <c r="G686" s="1" t="s">
        <v>23</v>
      </c>
      <c r="H686">
        <v>2644</v>
      </c>
      <c r="I686">
        <v>1</v>
      </c>
      <c r="J686">
        <v>2023</v>
      </c>
      <c r="K686" s="1" t="s">
        <v>873</v>
      </c>
      <c r="L686">
        <v>11</v>
      </c>
      <c r="M686" s="1">
        <v>2644</v>
      </c>
    </row>
    <row r="687" spans="1:13" x14ac:dyDescent="0.3">
      <c r="A687" s="1" t="s">
        <v>744</v>
      </c>
      <c r="B687" s="2">
        <v>45068</v>
      </c>
      <c r="C687" s="1" t="s">
        <v>64</v>
      </c>
      <c r="D687" s="1" t="s">
        <v>65</v>
      </c>
      <c r="E687" s="1" t="s">
        <v>29</v>
      </c>
      <c r="F687" s="1" t="s">
        <v>25</v>
      </c>
      <c r="G687" s="1" t="s">
        <v>14</v>
      </c>
      <c r="H687">
        <v>824</v>
      </c>
      <c r="I687">
        <v>1</v>
      </c>
      <c r="J687">
        <v>2023</v>
      </c>
      <c r="K687" s="1" t="s">
        <v>872</v>
      </c>
      <c r="L687">
        <v>5</v>
      </c>
      <c r="M687" s="1">
        <v>824</v>
      </c>
    </row>
    <row r="688" spans="1:13" x14ac:dyDescent="0.3">
      <c r="A688" s="1" t="s">
        <v>745</v>
      </c>
      <c r="B688" s="2">
        <v>44931</v>
      </c>
      <c r="C688" s="1" t="s">
        <v>61</v>
      </c>
      <c r="D688" s="1" t="s">
        <v>62</v>
      </c>
      <c r="E688" s="1" t="s">
        <v>29</v>
      </c>
      <c r="F688" s="1" t="s">
        <v>18</v>
      </c>
      <c r="G688" s="1" t="s">
        <v>14</v>
      </c>
      <c r="H688">
        <v>2914</v>
      </c>
      <c r="I688">
        <v>1</v>
      </c>
      <c r="J688">
        <v>2023</v>
      </c>
      <c r="K688" s="1" t="s">
        <v>868</v>
      </c>
      <c r="L688">
        <v>1</v>
      </c>
      <c r="M688" s="1">
        <v>2914</v>
      </c>
    </row>
    <row r="689" spans="1:13" x14ac:dyDescent="0.3">
      <c r="A689" s="1" t="s">
        <v>746</v>
      </c>
      <c r="B689" s="2">
        <v>45023</v>
      </c>
      <c r="C689" s="1" t="s">
        <v>47</v>
      </c>
      <c r="D689" s="1" t="s">
        <v>48</v>
      </c>
      <c r="E689" s="1" t="s">
        <v>36</v>
      </c>
      <c r="F689" s="1" t="s">
        <v>13</v>
      </c>
      <c r="G689" s="1" t="s">
        <v>23</v>
      </c>
      <c r="H689">
        <v>20832</v>
      </c>
      <c r="I689">
        <v>8</v>
      </c>
      <c r="J689">
        <v>2023</v>
      </c>
      <c r="K689" s="1" t="s">
        <v>867</v>
      </c>
      <c r="L689">
        <v>4</v>
      </c>
      <c r="M689" s="1">
        <v>166656</v>
      </c>
    </row>
    <row r="690" spans="1:13" x14ac:dyDescent="0.3">
      <c r="A690" s="1" t="s">
        <v>747</v>
      </c>
      <c r="B690" s="2">
        <v>45064</v>
      </c>
      <c r="C690" s="1" t="s">
        <v>123</v>
      </c>
      <c r="D690" s="1" t="s">
        <v>124</v>
      </c>
      <c r="E690" s="1" t="s">
        <v>29</v>
      </c>
      <c r="F690" s="1" t="s">
        <v>13</v>
      </c>
      <c r="G690" s="1" t="s">
        <v>14</v>
      </c>
      <c r="H690">
        <v>3133</v>
      </c>
      <c r="I690">
        <v>1</v>
      </c>
      <c r="J690">
        <v>2023</v>
      </c>
      <c r="K690" s="1" t="s">
        <v>872</v>
      </c>
      <c r="L690">
        <v>5</v>
      </c>
      <c r="M690" s="1">
        <v>3133</v>
      </c>
    </row>
    <row r="691" spans="1:13" x14ac:dyDescent="0.3">
      <c r="A691" s="1" t="s">
        <v>748</v>
      </c>
      <c r="B691" s="2">
        <v>44969</v>
      </c>
      <c r="C691" s="1" t="s">
        <v>43</v>
      </c>
      <c r="D691" s="1" t="s">
        <v>44</v>
      </c>
      <c r="E691" s="1" t="s">
        <v>12</v>
      </c>
      <c r="F691" s="1" t="s">
        <v>22</v>
      </c>
      <c r="G691" s="1" t="s">
        <v>23</v>
      </c>
      <c r="H691">
        <v>9698</v>
      </c>
      <c r="I691">
        <v>2</v>
      </c>
      <c r="J691">
        <v>2023</v>
      </c>
      <c r="K691" s="1" t="s">
        <v>871</v>
      </c>
      <c r="L691">
        <v>2</v>
      </c>
      <c r="M691" s="1">
        <v>19396</v>
      </c>
    </row>
    <row r="692" spans="1:13" x14ac:dyDescent="0.3">
      <c r="A692" s="1" t="s">
        <v>749</v>
      </c>
      <c r="B692" s="2">
        <v>45173</v>
      </c>
      <c r="C692" s="1" t="s">
        <v>109</v>
      </c>
      <c r="D692" s="1" t="s">
        <v>110</v>
      </c>
      <c r="E692" s="1" t="s">
        <v>29</v>
      </c>
      <c r="F692" s="1" t="s">
        <v>13</v>
      </c>
      <c r="G692" s="1" t="s">
        <v>14</v>
      </c>
      <c r="H692">
        <v>36120</v>
      </c>
      <c r="I692">
        <v>8</v>
      </c>
      <c r="J692">
        <v>2023</v>
      </c>
      <c r="K692" s="1" t="s">
        <v>866</v>
      </c>
      <c r="L692">
        <v>9</v>
      </c>
      <c r="M692" s="1">
        <v>288960</v>
      </c>
    </row>
    <row r="693" spans="1:13" x14ac:dyDescent="0.3">
      <c r="A693" s="1" t="s">
        <v>750</v>
      </c>
      <c r="B693" s="2">
        <v>45290</v>
      </c>
      <c r="C693" s="1" t="s">
        <v>31</v>
      </c>
      <c r="D693" s="1" t="s">
        <v>32</v>
      </c>
      <c r="E693" s="1" t="s">
        <v>36</v>
      </c>
      <c r="F693" s="1" t="s">
        <v>18</v>
      </c>
      <c r="G693" s="1" t="s">
        <v>23</v>
      </c>
      <c r="H693">
        <v>33131</v>
      </c>
      <c r="I693">
        <v>7</v>
      </c>
      <c r="J693">
        <v>2023</v>
      </c>
      <c r="K693" s="1" t="s">
        <v>869</v>
      </c>
      <c r="L693">
        <v>12</v>
      </c>
      <c r="M693" s="1">
        <v>231917</v>
      </c>
    </row>
    <row r="694" spans="1:13" x14ac:dyDescent="0.3">
      <c r="A694" s="1" t="s">
        <v>751</v>
      </c>
      <c r="B694" s="2">
        <v>45056</v>
      </c>
      <c r="C694" s="1" t="s">
        <v>89</v>
      </c>
      <c r="D694" s="1" t="s">
        <v>90</v>
      </c>
      <c r="E694" s="1" t="s">
        <v>29</v>
      </c>
      <c r="F694" s="1" t="s">
        <v>18</v>
      </c>
      <c r="G694" s="1" t="s">
        <v>23</v>
      </c>
      <c r="H694">
        <v>4403</v>
      </c>
      <c r="I694">
        <v>1</v>
      </c>
      <c r="J694">
        <v>2023</v>
      </c>
      <c r="K694" s="1" t="s">
        <v>872</v>
      </c>
      <c r="L694">
        <v>5</v>
      </c>
      <c r="M694" s="1">
        <v>4403</v>
      </c>
    </row>
    <row r="695" spans="1:13" x14ac:dyDescent="0.3">
      <c r="A695" s="1" t="s">
        <v>752</v>
      </c>
      <c r="B695" s="2">
        <v>45289</v>
      </c>
      <c r="C695" s="1" t="s">
        <v>47</v>
      </c>
      <c r="D695" s="1" t="s">
        <v>48</v>
      </c>
      <c r="E695" s="1" t="s">
        <v>36</v>
      </c>
      <c r="F695" s="1" t="s">
        <v>25</v>
      </c>
      <c r="G695" s="1" t="s">
        <v>23</v>
      </c>
      <c r="H695">
        <v>22788</v>
      </c>
      <c r="I695">
        <v>6</v>
      </c>
      <c r="J695">
        <v>2023</v>
      </c>
      <c r="K695" s="1" t="s">
        <v>869</v>
      </c>
      <c r="L695">
        <v>12</v>
      </c>
      <c r="M695" s="1">
        <v>136728</v>
      </c>
    </row>
    <row r="696" spans="1:13" x14ac:dyDescent="0.3">
      <c r="A696" s="1" t="s">
        <v>753</v>
      </c>
      <c r="B696" s="2">
        <v>45194</v>
      </c>
      <c r="C696" s="1" t="s">
        <v>20</v>
      </c>
      <c r="D696" s="1" t="s">
        <v>21</v>
      </c>
      <c r="E696" s="1" t="s">
        <v>29</v>
      </c>
      <c r="F696" s="1" t="s">
        <v>22</v>
      </c>
      <c r="G696" s="1" t="s">
        <v>23</v>
      </c>
      <c r="H696">
        <v>43281</v>
      </c>
      <c r="I696">
        <v>9</v>
      </c>
      <c r="J696">
        <v>2023</v>
      </c>
      <c r="K696" s="1" t="s">
        <v>866</v>
      </c>
      <c r="L696">
        <v>9</v>
      </c>
      <c r="M696" s="1">
        <v>389529</v>
      </c>
    </row>
    <row r="697" spans="1:13" x14ac:dyDescent="0.3">
      <c r="A697" s="1" t="s">
        <v>754</v>
      </c>
      <c r="B697" s="2">
        <v>45028</v>
      </c>
      <c r="C697" s="1" t="s">
        <v>34</v>
      </c>
      <c r="D697" s="1" t="s">
        <v>35</v>
      </c>
      <c r="E697" s="1" t="s">
        <v>36</v>
      </c>
      <c r="F697" s="1" t="s">
        <v>25</v>
      </c>
      <c r="G697" s="1" t="s">
        <v>14</v>
      </c>
      <c r="H697">
        <v>4615</v>
      </c>
      <c r="I697">
        <v>1</v>
      </c>
      <c r="J697">
        <v>2023</v>
      </c>
      <c r="K697" s="1" t="s">
        <v>867</v>
      </c>
      <c r="L697">
        <v>4</v>
      </c>
      <c r="M697" s="1">
        <v>4615</v>
      </c>
    </row>
    <row r="698" spans="1:13" x14ac:dyDescent="0.3">
      <c r="A698" s="1" t="s">
        <v>755</v>
      </c>
      <c r="B698" s="2">
        <v>45217</v>
      </c>
      <c r="C698" s="1" t="s">
        <v>10</v>
      </c>
      <c r="D698" s="1" t="s">
        <v>11</v>
      </c>
      <c r="E698" s="1" t="s">
        <v>29</v>
      </c>
      <c r="F698" s="1" t="s">
        <v>13</v>
      </c>
      <c r="G698" s="1" t="s">
        <v>40</v>
      </c>
      <c r="H698">
        <v>23010</v>
      </c>
      <c r="I698">
        <v>6</v>
      </c>
      <c r="J698">
        <v>2023</v>
      </c>
      <c r="K698" s="1" t="s">
        <v>865</v>
      </c>
      <c r="L698">
        <v>10</v>
      </c>
      <c r="M698" s="1">
        <v>138060</v>
      </c>
    </row>
    <row r="699" spans="1:13" x14ac:dyDescent="0.3">
      <c r="A699" s="1" t="s">
        <v>756</v>
      </c>
      <c r="B699" s="2">
        <v>45000</v>
      </c>
      <c r="C699" s="1" t="s">
        <v>89</v>
      </c>
      <c r="D699" s="1" t="s">
        <v>90</v>
      </c>
      <c r="E699" s="1" t="s">
        <v>29</v>
      </c>
      <c r="F699" s="1" t="s">
        <v>18</v>
      </c>
      <c r="G699" s="1" t="s">
        <v>40</v>
      </c>
      <c r="H699">
        <v>9684</v>
      </c>
      <c r="I699">
        <v>6</v>
      </c>
      <c r="J699">
        <v>2023</v>
      </c>
      <c r="K699" s="1" t="s">
        <v>870</v>
      </c>
      <c r="L699">
        <v>3</v>
      </c>
      <c r="M699" s="1">
        <v>58104</v>
      </c>
    </row>
    <row r="700" spans="1:13" x14ac:dyDescent="0.3">
      <c r="A700" s="1" t="s">
        <v>757</v>
      </c>
      <c r="B700" s="2">
        <v>45222</v>
      </c>
      <c r="C700" s="1" t="s">
        <v>16</v>
      </c>
      <c r="D700" s="1" t="s">
        <v>17</v>
      </c>
      <c r="E700" s="1" t="s">
        <v>29</v>
      </c>
      <c r="F700" s="1" t="s">
        <v>22</v>
      </c>
      <c r="G700" s="1" t="s">
        <v>14</v>
      </c>
      <c r="H700">
        <v>20830</v>
      </c>
      <c r="I700">
        <v>10</v>
      </c>
      <c r="J700">
        <v>2023</v>
      </c>
      <c r="K700" s="1" t="s">
        <v>865</v>
      </c>
      <c r="L700">
        <v>10</v>
      </c>
      <c r="M700" s="1">
        <v>208300</v>
      </c>
    </row>
    <row r="701" spans="1:13" x14ac:dyDescent="0.3">
      <c r="A701" s="1" t="s">
        <v>758</v>
      </c>
      <c r="B701" s="2">
        <v>44972</v>
      </c>
      <c r="C701" s="1" t="s">
        <v>73</v>
      </c>
      <c r="D701" s="1" t="s">
        <v>74</v>
      </c>
      <c r="E701" s="1" t="s">
        <v>12</v>
      </c>
      <c r="F701" s="1" t="s">
        <v>18</v>
      </c>
      <c r="G701" s="1" t="s">
        <v>23</v>
      </c>
      <c r="H701">
        <v>23821</v>
      </c>
      <c r="I701">
        <v>7</v>
      </c>
      <c r="J701">
        <v>2023</v>
      </c>
      <c r="K701" s="1" t="s">
        <v>871</v>
      </c>
      <c r="L701">
        <v>2</v>
      </c>
      <c r="M701" s="1">
        <v>166747</v>
      </c>
    </row>
    <row r="702" spans="1:13" x14ac:dyDescent="0.3">
      <c r="A702" s="1" t="s">
        <v>759</v>
      </c>
      <c r="B702" s="2">
        <v>45101</v>
      </c>
      <c r="C702" s="1" t="s">
        <v>34</v>
      </c>
      <c r="D702" s="1" t="s">
        <v>35</v>
      </c>
      <c r="E702" s="1" t="s">
        <v>12</v>
      </c>
      <c r="F702" s="1" t="s">
        <v>22</v>
      </c>
      <c r="G702" s="1" t="s">
        <v>40</v>
      </c>
      <c r="H702">
        <v>5004</v>
      </c>
      <c r="I702">
        <v>6</v>
      </c>
      <c r="J702">
        <v>2023</v>
      </c>
      <c r="K702" s="1" t="s">
        <v>863</v>
      </c>
      <c r="L702">
        <v>6</v>
      </c>
      <c r="M702" s="1">
        <v>30024</v>
      </c>
    </row>
    <row r="703" spans="1:13" x14ac:dyDescent="0.3">
      <c r="A703" s="1" t="s">
        <v>760</v>
      </c>
      <c r="B703" s="2">
        <v>45121</v>
      </c>
      <c r="C703" s="1" t="s">
        <v>67</v>
      </c>
      <c r="D703" s="1" t="s">
        <v>68</v>
      </c>
      <c r="E703" s="1" t="s">
        <v>12</v>
      </c>
      <c r="F703" s="1" t="s">
        <v>22</v>
      </c>
      <c r="G703" s="1" t="s">
        <v>40</v>
      </c>
      <c r="H703">
        <v>14715</v>
      </c>
      <c r="I703">
        <v>3</v>
      </c>
      <c r="J703">
        <v>2023</v>
      </c>
      <c r="K703" s="1" t="s">
        <v>864</v>
      </c>
      <c r="L703">
        <v>7</v>
      </c>
      <c r="M703" s="1">
        <v>44145</v>
      </c>
    </row>
    <row r="704" spans="1:13" x14ac:dyDescent="0.3">
      <c r="A704" s="1" t="s">
        <v>761</v>
      </c>
      <c r="B704" s="2">
        <v>45269</v>
      </c>
      <c r="C704" s="1" t="s">
        <v>20</v>
      </c>
      <c r="D704" s="1" t="s">
        <v>21</v>
      </c>
      <c r="E704" s="1" t="s">
        <v>12</v>
      </c>
      <c r="F704" s="1" t="s">
        <v>25</v>
      </c>
      <c r="G704" s="1" t="s">
        <v>14</v>
      </c>
      <c r="H704">
        <v>13968</v>
      </c>
      <c r="I704">
        <v>6</v>
      </c>
      <c r="J704">
        <v>2023</v>
      </c>
      <c r="K704" s="1" t="s">
        <v>869</v>
      </c>
      <c r="L704">
        <v>12</v>
      </c>
      <c r="M704" s="1">
        <v>83808</v>
      </c>
    </row>
    <row r="705" spans="1:13" x14ac:dyDescent="0.3">
      <c r="A705" s="1" t="s">
        <v>762</v>
      </c>
      <c r="B705" s="2">
        <v>45063</v>
      </c>
      <c r="C705" s="1" t="s">
        <v>43</v>
      </c>
      <c r="D705" s="1" t="s">
        <v>44</v>
      </c>
      <c r="E705" s="1" t="s">
        <v>29</v>
      </c>
      <c r="F705" s="1" t="s">
        <v>22</v>
      </c>
      <c r="G705" s="1" t="s">
        <v>14</v>
      </c>
      <c r="H705">
        <v>19550</v>
      </c>
      <c r="I705">
        <v>10</v>
      </c>
      <c r="J705">
        <v>2023</v>
      </c>
      <c r="K705" s="1" t="s">
        <v>872</v>
      </c>
      <c r="L705">
        <v>5</v>
      </c>
      <c r="M705" s="1">
        <v>195500</v>
      </c>
    </row>
    <row r="706" spans="1:13" x14ac:dyDescent="0.3">
      <c r="A706" s="1" t="s">
        <v>763</v>
      </c>
      <c r="B706" s="2">
        <v>45186</v>
      </c>
      <c r="C706" s="1" t="s">
        <v>43</v>
      </c>
      <c r="D706" s="1" t="s">
        <v>44</v>
      </c>
      <c r="E706" s="1" t="s">
        <v>36</v>
      </c>
      <c r="F706" s="1" t="s">
        <v>22</v>
      </c>
      <c r="G706" s="1" t="s">
        <v>14</v>
      </c>
      <c r="H706">
        <v>40690</v>
      </c>
      <c r="I706">
        <v>10</v>
      </c>
      <c r="J706">
        <v>2023</v>
      </c>
      <c r="K706" s="1" t="s">
        <v>866</v>
      </c>
      <c r="L706">
        <v>9</v>
      </c>
      <c r="M706" s="1">
        <v>406900</v>
      </c>
    </row>
    <row r="707" spans="1:13" x14ac:dyDescent="0.3">
      <c r="A707" s="1" t="s">
        <v>764</v>
      </c>
      <c r="B707" s="2">
        <v>45142</v>
      </c>
      <c r="C707" s="1" t="s">
        <v>123</v>
      </c>
      <c r="D707" s="1" t="s">
        <v>124</v>
      </c>
      <c r="E707" s="1" t="s">
        <v>12</v>
      </c>
      <c r="F707" s="1" t="s">
        <v>25</v>
      </c>
      <c r="G707" s="1" t="s">
        <v>40</v>
      </c>
      <c r="H707">
        <v>16260</v>
      </c>
      <c r="I707">
        <v>4</v>
      </c>
      <c r="J707">
        <v>2023</v>
      </c>
      <c r="K707" s="1" t="s">
        <v>874</v>
      </c>
      <c r="L707">
        <v>8</v>
      </c>
      <c r="M707" s="1">
        <v>65040</v>
      </c>
    </row>
    <row r="708" spans="1:13" x14ac:dyDescent="0.3">
      <c r="A708" s="1" t="s">
        <v>765</v>
      </c>
      <c r="B708" s="2">
        <v>44936</v>
      </c>
      <c r="C708" s="1" t="s">
        <v>27</v>
      </c>
      <c r="D708" s="1" t="s">
        <v>28</v>
      </c>
      <c r="E708" s="1" t="s">
        <v>36</v>
      </c>
      <c r="F708" s="1" t="s">
        <v>18</v>
      </c>
      <c r="G708" s="1" t="s">
        <v>23</v>
      </c>
      <c r="H708">
        <v>24336</v>
      </c>
      <c r="I708">
        <v>8</v>
      </c>
      <c r="J708">
        <v>2023</v>
      </c>
      <c r="K708" s="1" t="s">
        <v>868</v>
      </c>
      <c r="L708">
        <v>1</v>
      </c>
      <c r="M708" s="1">
        <v>194688</v>
      </c>
    </row>
    <row r="709" spans="1:13" x14ac:dyDescent="0.3">
      <c r="A709" s="1" t="s">
        <v>766</v>
      </c>
      <c r="B709" s="2">
        <v>44944</v>
      </c>
      <c r="C709" s="1" t="s">
        <v>16</v>
      </c>
      <c r="D709" s="1" t="s">
        <v>17</v>
      </c>
      <c r="E709" s="1" t="s">
        <v>12</v>
      </c>
      <c r="F709" s="1" t="s">
        <v>13</v>
      </c>
      <c r="G709" s="1" t="s">
        <v>23</v>
      </c>
      <c r="H709">
        <v>12138</v>
      </c>
      <c r="I709">
        <v>3</v>
      </c>
      <c r="J709">
        <v>2023</v>
      </c>
      <c r="K709" s="1" t="s">
        <v>868</v>
      </c>
      <c r="L709">
        <v>1</v>
      </c>
      <c r="M709" s="1">
        <v>36414</v>
      </c>
    </row>
    <row r="710" spans="1:13" x14ac:dyDescent="0.3">
      <c r="A710" s="1" t="s">
        <v>767</v>
      </c>
      <c r="B710" s="2">
        <v>45068</v>
      </c>
      <c r="C710" s="1" t="s">
        <v>67</v>
      </c>
      <c r="D710" s="1" t="s">
        <v>68</v>
      </c>
      <c r="E710" s="1" t="s">
        <v>36</v>
      </c>
      <c r="F710" s="1" t="s">
        <v>18</v>
      </c>
      <c r="G710" s="1" t="s">
        <v>23</v>
      </c>
      <c r="H710">
        <v>13704</v>
      </c>
      <c r="I710">
        <v>3</v>
      </c>
      <c r="J710">
        <v>2023</v>
      </c>
      <c r="K710" s="1" t="s">
        <v>872</v>
      </c>
      <c r="L710">
        <v>5</v>
      </c>
      <c r="M710" s="1">
        <v>41112</v>
      </c>
    </row>
    <row r="711" spans="1:13" x14ac:dyDescent="0.3">
      <c r="A711" s="1" t="s">
        <v>768</v>
      </c>
      <c r="B711" s="2">
        <v>44962</v>
      </c>
      <c r="C711" s="1" t="s">
        <v>27</v>
      </c>
      <c r="D711" s="1" t="s">
        <v>28</v>
      </c>
      <c r="E711" s="1" t="s">
        <v>36</v>
      </c>
      <c r="F711" s="1" t="s">
        <v>13</v>
      </c>
      <c r="G711" s="1" t="s">
        <v>40</v>
      </c>
      <c r="H711">
        <v>26070</v>
      </c>
      <c r="I711">
        <v>10</v>
      </c>
      <c r="J711">
        <v>2023</v>
      </c>
      <c r="K711" s="1" t="s">
        <v>871</v>
      </c>
      <c r="L711">
        <v>2</v>
      </c>
      <c r="M711" s="1">
        <v>260700</v>
      </c>
    </row>
    <row r="712" spans="1:13" x14ac:dyDescent="0.3">
      <c r="A712" s="1" t="s">
        <v>769</v>
      </c>
      <c r="B712" s="2">
        <v>45165</v>
      </c>
      <c r="C712" s="1" t="s">
        <v>43</v>
      </c>
      <c r="D712" s="1" t="s">
        <v>44</v>
      </c>
      <c r="E712" s="1" t="s">
        <v>29</v>
      </c>
      <c r="F712" s="1" t="s">
        <v>18</v>
      </c>
      <c r="G712" s="1" t="s">
        <v>40</v>
      </c>
      <c r="H712">
        <v>39480</v>
      </c>
      <c r="I712">
        <v>10</v>
      </c>
      <c r="J712">
        <v>2023</v>
      </c>
      <c r="K712" s="1" t="s">
        <v>874</v>
      </c>
      <c r="L712">
        <v>8</v>
      </c>
      <c r="M712" s="1">
        <v>394800</v>
      </c>
    </row>
    <row r="713" spans="1:13" x14ac:dyDescent="0.3">
      <c r="A713" s="1" t="s">
        <v>770</v>
      </c>
      <c r="B713" s="2">
        <v>45140</v>
      </c>
      <c r="C713" s="1" t="s">
        <v>77</v>
      </c>
      <c r="D713" s="1" t="s">
        <v>78</v>
      </c>
      <c r="E713" s="1" t="s">
        <v>36</v>
      </c>
      <c r="F713" s="1" t="s">
        <v>25</v>
      </c>
      <c r="G713" s="1" t="s">
        <v>14</v>
      </c>
      <c r="H713">
        <v>29440</v>
      </c>
      <c r="I713">
        <v>8</v>
      </c>
      <c r="J713">
        <v>2023</v>
      </c>
      <c r="K713" s="1" t="s">
        <v>874</v>
      </c>
      <c r="L713">
        <v>8</v>
      </c>
      <c r="M713" s="1">
        <v>235520</v>
      </c>
    </row>
    <row r="714" spans="1:13" x14ac:dyDescent="0.3">
      <c r="A714" s="1" t="s">
        <v>771</v>
      </c>
      <c r="B714" s="2">
        <v>45013</v>
      </c>
      <c r="C714" s="1" t="s">
        <v>10</v>
      </c>
      <c r="D714" s="1" t="s">
        <v>11</v>
      </c>
      <c r="E714" s="1" t="s">
        <v>36</v>
      </c>
      <c r="F714" s="1" t="s">
        <v>13</v>
      </c>
      <c r="G714" s="1" t="s">
        <v>40</v>
      </c>
      <c r="H714">
        <v>11210</v>
      </c>
      <c r="I714">
        <v>10</v>
      </c>
      <c r="J714">
        <v>2023</v>
      </c>
      <c r="K714" s="1" t="s">
        <v>870</v>
      </c>
      <c r="L714">
        <v>3</v>
      </c>
      <c r="M714" s="1">
        <v>112100</v>
      </c>
    </row>
    <row r="715" spans="1:13" x14ac:dyDescent="0.3">
      <c r="A715" s="1" t="s">
        <v>772</v>
      </c>
      <c r="B715" s="2">
        <v>45014</v>
      </c>
      <c r="C715" s="1" t="s">
        <v>31</v>
      </c>
      <c r="D715" s="1" t="s">
        <v>32</v>
      </c>
      <c r="E715" s="1" t="s">
        <v>29</v>
      </c>
      <c r="F715" s="1" t="s">
        <v>25</v>
      </c>
      <c r="G715" s="1" t="s">
        <v>23</v>
      </c>
      <c r="H715">
        <v>12405</v>
      </c>
      <c r="I715">
        <v>3</v>
      </c>
      <c r="J715">
        <v>2023</v>
      </c>
      <c r="K715" s="1" t="s">
        <v>870</v>
      </c>
      <c r="L715">
        <v>3</v>
      </c>
      <c r="M715" s="1">
        <v>37215</v>
      </c>
    </row>
    <row r="716" spans="1:13" x14ac:dyDescent="0.3">
      <c r="A716" s="1" t="s">
        <v>773</v>
      </c>
      <c r="B716" s="2">
        <v>45003</v>
      </c>
      <c r="C716" s="1" t="s">
        <v>27</v>
      </c>
      <c r="D716" s="1" t="s">
        <v>28</v>
      </c>
      <c r="E716" s="1" t="s">
        <v>12</v>
      </c>
      <c r="F716" s="1" t="s">
        <v>13</v>
      </c>
      <c r="G716" s="1" t="s">
        <v>23</v>
      </c>
      <c r="H716">
        <v>47220</v>
      </c>
      <c r="I716">
        <v>10</v>
      </c>
      <c r="J716">
        <v>2023</v>
      </c>
      <c r="K716" s="1" t="s">
        <v>870</v>
      </c>
      <c r="L716">
        <v>3</v>
      </c>
      <c r="M716" s="1">
        <v>472200</v>
      </c>
    </row>
    <row r="717" spans="1:13" x14ac:dyDescent="0.3">
      <c r="A717" s="1" t="s">
        <v>774</v>
      </c>
      <c r="B717" s="2">
        <v>45040</v>
      </c>
      <c r="C717" s="1" t="s">
        <v>38</v>
      </c>
      <c r="D717" s="1" t="s">
        <v>39</v>
      </c>
      <c r="E717" s="1" t="s">
        <v>12</v>
      </c>
      <c r="F717" s="1" t="s">
        <v>22</v>
      </c>
      <c r="G717" s="1" t="s">
        <v>23</v>
      </c>
      <c r="H717">
        <v>4296</v>
      </c>
      <c r="I717">
        <v>3</v>
      </c>
      <c r="J717">
        <v>2023</v>
      </c>
      <c r="K717" s="1" t="s">
        <v>867</v>
      </c>
      <c r="L717">
        <v>4</v>
      </c>
      <c r="M717" s="1">
        <v>12888</v>
      </c>
    </row>
    <row r="718" spans="1:13" x14ac:dyDescent="0.3">
      <c r="A718" s="1" t="s">
        <v>775</v>
      </c>
      <c r="B718" s="2">
        <v>45085</v>
      </c>
      <c r="C718" s="1" t="s">
        <v>34</v>
      </c>
      <c r="D718" s="1" t="s">
        <v>35</v>
      </c>
      <c r="E718" s="1" t="s">
        <v>29</v>
      </c>
      <c r="F718" s="1" t="s">
        <v>25</v>
      </c>
      <c r="G718" s="1" t="s">
        <v>40</v>
      </c>
      <c r="H718">
        <v>1067</v>
      </c>
      <c r="I718">
        <v>1</v>
      </c>
      <c r="J718">
        <v>2023</v>
      </c>
      <c r="K718" s="1" t="s">
        <v>863</v>
      </c>
      <c r="L718">
        <v>6</v>
      </c>
      <c r="M718" s="1">
        <v>1067</v>
      </c>
    </row>
    <row r="719" spans="1:13" x14ac:dyDescent="0.3">
      <c r="A719" s="1" t="s">
        <v>776</v>
      </c>
      <c r="B719" s="2">
        <v>45290</v>
      </c>
      <c r="C719" s="1" t="s">
        <v>38</v>
      </c>
      <c r="D719" s="1" t="s">
        <v>39</v>
      </c>
      <c r="E719" s="1" t="s">
        <v>29</v>
      </c>
      <c r="F719" s="1" t="s">
        <v>13</v>
      </c>
      <c r="G719" s="1" t="s">
        <v>40</v>
      </c>
      <c r="H719">
        <v>10818</v>
      </c>
      <c r="I719">
        <v>3</v>
      </c>
      <c r="J719">
        <v>2023</v>
      </c>
      <c r="K719" s="1" t="s">
        <v>869</v>
      </c>
      <c r="L719">
        <v>12</v>
      </c>
      <c r="M719" s="1">
        <v>32454</v>
      </c>
    </row>
    <row r="720" spans="1:13" x14ac:dyDescent="0.3">
      <c r="A720" s="1" t="s">
        <v>777</v>
      </c>
      <c r="B720" s="2">
        <v>45114</v>
      </c>
      <c r="C720" s="1" t="s">
        <v>47</v>
      </c>
      <c r="D720" s="1" t="s">
        <v>48</v>
      </c>
      <c r="E720" s="1" t="s">
        <v>29</v>
      </c>
      <c r="F720" s="1" t="s">
        <v>25</v>
      </c>
      <c r="G720" s="1" t="s">
        <v>14</v>
      </c>
      <c r="H720">
        <v>13692</v>
      </c>
      <c r="I720">
        <v>4</v>
      </c>
      <c r="J720">
        <v>2023</v>
      </c>
      <c r="K720" s="1" t="s">
        <v>864</v>
      </c>
      <c r="L720">
        <v>7</v>
      </c>
      <c r="M720" s="1">
        <v>54768</v>
      </c>
    </row>
    <row r="721" spans="1:13" x14ac:dyDescent="0.3">
      <c r="A721" s="1" t="s">
        <v>778</v>
      </c>
      <c r="B721" s="2">
        <v>44927</v>
      </c>
      <c r="C721" s="1" t="s">
        <v>20</v>
      </c>
      <c r="D721" s="1" t="s">
        <v>21</v>
      </c>
      <c r="E721" s="1" t="s">
        <v>36</v>
      </c>
      <c r="F721" s="1" t="s">
        <v>25</v>
      </c>
      <c r="G721" s="1" t="s">
        <v>40</v>
      </c>
      <c r="H721">
        <v>34776</v>
      </c>
      <c r="I721">
        <v>7</v>
      </c>
      <c r="J721">
        <v>2023</v>
      </c>
      <c r="K721" s="1" t="s">
        <v>868</v>
      </c>
      <c r="L721">
        <v>1</v>
      </c>
      <c r="M721" s="1">
        <v>243432</v>
      </c>
    </row>
    <row r="722" spans="1:13" x14ac:dyDescent="0.3">
      <c r="A722" s="1" t="s">
        <v>779</v>
      </c>
      <c r="B722" s="2">
        <v>45129</v>
      </c>
      <c r="C722" s="1" t="s">
        <v>67</v>
      </c>
      <c r="D722" s="1" t="s">
        <v>68</v>
      </c>
      <c r="E722" s="1" t="s">
        <v>12</v>
      </c>
      <c r="F722" s="1" t="s">
        <v>18</v>
      </c>
      <c r="G722" s="1" t="s">
        <v>40</v>
      </c>
      <c r="H722">
        <v>11520</v>
      </c>
      <c r="I722">
        <v>3</v>
      </c>
      <c r="J722">
        <v>2023</v>
      </c>
      <c r="K722" s="1" t="s">
        <v>864</v>
      </c>
      <c r="L722">
        <v>7</v>
      </c>
      <c r="M722" s="1">
        <v>34560</v>
      </c>
    </row>
    <row r="723" spans="1:13" x14ac:dyDescent="0.3">
      <c r="A723" s="1" t="s">
        <v>780</v>
      </c>
      <c r="B723" s="2">
        <v>45230</v>
      </c>
      <c r="C723" s="1" t="s">
        <v>50</v>
      </c>
      <c r="D723" s="1" t="s">
        <v>51</v>
      </c>
      <c r="E723" s="1" t="s">
        <v>36</v>
      </c>
      <c r="F723" s="1" t="s">
        <v>25</v>
      </c>
      <c r="G723" s="1" t="s">
        <v>14</v>
      </c>
      <c r="H723">
        <v>8332</v>
      </c>
      <c r="I723">
        <v>4</v>
      </c>
      <c r="J723">
        <v>2023</v>
      </c>
      <c r="K723" s="1" t="s">
        <v>865</v>
      </c>
      <c r="L723">
        <v>10</v>
      </c>
      <c r="M723" s="1">
        <v>33328</v>
      </c>
    </row>
    <row r="724" spans="1:13" x14ac:dyDescent="0.3">
      <c r="A724" s="1" t="s">
        <v>781</v>
      </c>
      <c r="B724" s="2">
        <v>45161</v>
      </c>
      <c r="C724" s="1" t="s">
        <v>77</v>
      </c>
      <c r="D724" s="1" t="s">
        <v>78</v>
      </c>
      <c r="E724" s="1" t="s">
        <v>29</v>
      </c>
      <c r="F724" s="1" t="s">
        <v>22</v>
      </c>
      <c r="G724" s="1" t="s">
        <v>23</v>
      </c>
      <c r="H724">
        <v>1222</v>
      </c>
      <c r="I724">
        <v>1</v>
      </c>
      <c r="J724">
        <v>2023</v>
      </c>
      <c r="K724" s="1" t="s">
        <v>874</v>
      </c>
      <c r="L724">
        <v>8</v>
      </c>
      <c r="M724" s="1">
        <v>1222</v>
      </c>
    </row>
    <row r="725" spans="1:13" x14ac:dyDescent="0.3">
      <c r="A725" s="1" t="s">
        <v>782</v>
      </c>
      <c r="B725" s="2">
        <v>45025</v>
      </c>
      <c r="C725" s="1" t="s">
        <v>67</v>
      </c>
      <c r="D725" s="1" t="s">
        <v>68</v>
      </c>
      <c r="E725" s="1" t="s">
        <v>36</v>
      </c>
      <c r="F725" s="1" t="s">
        <v>13</v>
      </c>
      <c r="G725" s="1" t="s">
        <v>23</v>
      </c>
      <c r="H725">
        <v>24136</v>
      </c>
      <c r="I725">
        <v>8</v>
      </c>
      <c r="J725">
        <v>2023</v>
      </c>
      <c r="K725" s="1" t="s">
        <v>867</v>
      </c>
      <c r="L725">
        <v>4</v>
      </c>
      <c r="M725" s="1">
        <v>193088</v>
      </c>
    </row>
    <row r="726" spans="1:13" x14ac:dyDescent="0.3">
      <c r="A726" s="1" t="s">
        <v>783</v>
      </c>
      <c r="B726" s="2">
        <v>45289</v>
      </c>
      <c r="C726" s="1" t="s">
        <v>67</v>
      </c>
      <c r="D726" s="1" t="s">
        <v>68</v>
      </c>
      <c r="E726" s="1" t="s">
        <v>29</v>
      </c>
      <c r="F726" s="1" t="s">
        <v>25</v>
      </c>
      <c r="G726" s="1" t="s">
        <v>14</v>
      </c>
      <c r="H726">
        <v>15720</v>
      </c>
      <c r="I726">
        <v>5</v>
      </c>
      <c r="J726">
        <v>2023</v>
      </c>
      <c r="K726" s="1" t="s">
        <v>869</v>
      </c>
      <c r="L726">
        <v>12</v>
      </c>
      <c r="M726" s="1">
        <v>78600</v>
      </c>
    </row>
    <row r="727" spans="1:13" x14ac:dyDescent="0.3">
      <c r="A727" s="1" t="s">
        <v>784</v>
      </c>
      <c r="B727" s="2">
        <v>45020</v>
      </c>
      <c r="C727" s="1" t="s">
        <v>61</v>
      </c>
      <c r="D727" s="1" t="s">
        <v>62</v>
      </c>
      <c r="E727" s="1" t="s">
        <v>36</v>
      </c>
      <c r="F727" s="1" t="s">
        <v>25</v>
      </c>
      <c r="G727" s="1" t="s">
        <v>23</v>
      </c>
      <c r="H727">
        <v>44270</v>
      </c>
      <c r="I727">
        <v>10</v>
      </c>
      <c r="J727">
        <v>2023</v>
      </c>
      <c r="K727" s="1" t="s">
        <v>867</v>
      </c>
      <c r="L727">
        <v>4</v>
      </c>
      <c r="M727" s="1">
        <v>442700</v>
      </c>
    </row>
    <row r="728" spans="1:13" x14ac:dyDescent="0.3">
      <c r="A728" s="1" t="s">
        <v>785</v>
      </c>
      <c r="B728" s="2">
        <v>45285</v>
      </c>
      <c r="C728" s="1" t="s">
        <v>43</v>
      </c>
      <c r="D728" s="1" t="s">
        <v>44</v>
      </c>
      <c r="E728" s="1" t="s">
        <v>29</v>
      </c>
      <c r="F728" s="1" t="s">
        <v>18</v>
      </c>
      <c r="G728" s="1" t="s">
        <v>23</v>
      </c>
      <c r="H728">
        <v>9680</v>
      </c>
      <c r="I728">
        <v>10</v>
      </c>
      <c r="J728">
        <v>2023</v>
      </c>
      <c r="K728" s="1" t="s">
        <v>869</v>
      </c>
      <c r="L728">
        <v>12</v>
      </c>
      <c r="M728" s="1">
        <v>96800</v>
      </c>
    </row>
    <row r="729" spans="1:13" x14ac:dyDescent="0.3">
      <c r="A729" s="1" t="s">
        <v>786</v>
      </c>
      <c r="B729" s="2">
        <v>44950</v>
      </c>
      <c r="C729" s="1" t="s">
        <v>50</v>
      </c>
      <c r="D729" s="1" t="s">
        <v>51</v>
      </c>
      <c r="E729" s="1" t="s">
        <v>36</v>
      </c>
      <c r="F729" s="1" t="s">
        <v>13</v>
      </c>
      <c r="G729" s="1" t="s">
        <v>14</v>
      </c>
      <c r="H729">
        <v>10188</v>
      </c>
      <c r="I729">
        <v>6</v>
      </c>
      <c r="J729">
        <v>2023</v>
      </c>
      <c r="K729" s="1" t="s">
        <v>868</v>
      </c>
      <c r="L729">
        <v>1</v>
      </c>
      <c r="M729" s="1">
        <v>61128</v>
      </c>
    </row>
    <row r="730" spans="1:13" x14ac:dyDescent="0.3">
      <c r="A730" s="1" t="s">
        <v>787</v>
      </c>
      <c r="B730" s="2">
        <v>45263</v>
      </c>
      <c r="C730" s="1" t="s">
        <v>77</v>
      </c>
      <c r="D730" s="1" t="s">
        <v>78</v>
      </c>
      <c r="E730" s="1" t="s">
        <v>36</v>
      </c>
      <c r="F730" s="1" t="s">
        <v>25</v>
      </c>
      <c r="G730" s="1" t="s">
        <v>40</v>
      </c>
      <c r="H730">
        <v>24453</v>
      </c>
      <c r="I730">
        <v>9</v>
      </c>
      <c r="J730">
        <v>2023</v>
      </c>
      <c r="K730" s="1" t="s">
        <v>869</v>
      </c>
      <c r="L730">
        <v>12</v>
      </c>
      <c r="M730" s="1">
        <v>220077</v>
      </c>
    </row>
    <row r="731" spans="1:13" x14ac:dyDescent="0.3">
      <c r="A731" s="1" t="s">
        <v>788</v>
      </c>
      <c r="B731" s="2">
        <v>45186</v>
      </c>
      <c r="C731" s="1" t="s">
        <v>137</v>
      </c>
      <c r="D731" s="1" t="s">
        <v>138</v>
      </c>
      <c r="E731" s="1" t="s">
        <v>36</v>
      </c>
      <c r="F731" s="1" t="s">
        <v>25</v>
      </c>
      <c r="G731" s="1" t="s">
        <v>23</v>
      </c>
      <c r="H731">
        <v>8056</v>
      </c>
      <c r="I731">
        <v>4</v>
      </c>
      <c r="J731">
        <v>2023</v>
      </c>
      <c r="K731" s="1" t="s">
        <v>866</v>
      </c>
      <c r="L731">
        <v>9</v>
      </c>
      <c r="M731" s="1">
        <v>32224</v>
      </c>
    </row>
    <row r="732" spans="1:13" x14ac:dyDescent="0.3">
      <c r="A732" s="1" t="s">
        <v>789</v>
      </c>
      <c r="B732" s="2">
        <v>45130</v>
      </c>
      <c r="C732" s="1" t="s">
        <v>67</v>
      </c>
      <c r="D732" s="1" t="s">
        <v>68</v>
      </c>
      <c r="E732" s="1" t="s">
        <v>36</v>
      </c>
      <c r="F732" s="1" t="s">
        <v>18</v>
      </c>
      <c r="G732" s="1" t="s">
        <v>40</v>
      </c>
      <c r="H732">
        <v>5919</v>
      </c>
      <c r="I732">
        <v>3</v>
      </c>
      <c r="J732">
        <v>2023</v>
      </c>
      <c r="K732" s="1" t="s">
        <v>864</v>
      </c>
      <c r="L732">
        <v>7</v>
      </c>
      <c r="M732" s="1">
        <v>17757</v>
      </c>
    </row>
    <row r="733" spans="1:13" x14ac:dyDescent="0.3">
      <c r="A733" s="1" t="s">
        <v>790</v>
      </c>
      <c r="B733" s="2">
        <v>45124</v>
      </c>
      <c r="C733" s="1" t="s">
        <v>53</v>
      </c>
      <c r="D733" s="1" t="s">
        <v>54</v>
      </c>
      <c r="E733" s="1" t="s">
        <v>12</v>
      </c>
      <c r="F733" s="1" t="s">
        <v>18</v>
      </c>
      <c r="G733" s="1" t="s">
        <v>23</v>
      </c>
      <c r="H733">
        <v>9184</v>
      </c>
      <c r="I733">
        <v>7</v>
      </c>
      <c r="J733">
        <v>2023</v>
      </c>
      <c r="K733" s="1" t="s">
        <v>864</v>
      </c>
      <c r="L733">
        <v>7</v>
      </c>
      <c r="M733" s="1">
        <v>64288</v>
      </c>
    </row>
    <row r="734" spans="1:13" x14ac:dyDescent="0.3">
      <c r="A734" s="1" t="s">
        <v>791</v>
      </c>
      <c r="B734" s="2">
        <v>45027</v>
      </c>
      <c r="C734" s="1" t="s">
        <v>43</v>
      </c>
      <c r="D734" s="1" t="s">
        <v>44</v>
      </c>
      <c r="E734" s="1" t="s">
        <v>29</v>
      </c>
      <c r="F734" s="1" t="s">
        <v>13</v>
      </c>
      <c r="G734" s="1" t="s">
        <v>40</v>
      </c>
      <c r="H734">
        <v>4090</v>
      </c>
      <c r="I734">
        <v>5</v>
      </c>
      <c r="J734">
        <v>2023</v>
      </c>
      <c r="K734" s="1" t="s">
        <v>867</v>
      </c>
      <c r="L734">
        <v>4</v>
      </c>
      <c r="M734" s="1">
        <v>20450</v>
      </c>
    </row>
    <row r="735" spans="1:13" x14ac:dyDescent="0.3">
      <c r="A735" s="1" t="s">
        <v>792</v>
      </c>
      <c r="B735" s="2">
        <v>45041</v>
      </c>
      <c r="C735" s="1" t="s">
        <v>77</v>
      </c>
      <c r="D735" s="1" t="s">
        <v>78</v>
      </c>
      <c r="E735" s="1" t="s">
        <v>36</v>
      </c>
      <c r="F735" s="1" t="s">
        <v>13</v>
      </c>
      <c r="G735" s="1" t="s">
        <v>40</v>
      </c>
      <c r="H735">
        <v>10176</v>
      </c>
      <c r="I735">
        <v>3</v>
      </c>
      <c r="J735">
        <v>2023</v>
      </c>
      <c r="K735" s="1" t="s">
        <v>867</v>
      </c>
      <c r="L735">
        <v>4</v>
      </c>
      <c r="M735" s="1">
        <v>30528</v>
      </c>
    </row>
    <row r="736" spans="1:13" x14ac:dyDescent="0.3">
      <c r="A736" s="1" t="s">
        <v>793</v>
      </c>
      <c r="B736" s="2">
        <v>45231</v>
      </c>
      <c r="C736" s="1" t="s">
        <v>137</v>
      </c>
      <c r="D736" s="1" t="s">
        <v>138</v>
      </c>
      <c r="E736" s="1" t="s">
        <v>36</v>
      </c>
      <c r="F736" s="1" t="s">
        <v>13</v>
      </c>
      <c r="G736" s="1" t="s">
        <v>14</v>
      </c>
      <c r="H736">
        <v>14780</v>
      </c>
      <c r="I736">
        <v>4</v>
      </c>
      <c r="J736">
        <v>2023</v>
      </c>
      <c r="K736" s="1" t="s">
        <v>873</v>
      </c>
      <c r="L736">
        <v>11</v>
      </c>
      <c r="M736" s="1">
        <v>59120</v>
      </c>
    </row>
    <row r="737" spans="1:13" x14ac:dyDescent="0.3">
      <c r="A737" s="1" t="s">
        <v>794</v>
      </c>
      <c r="B737" s="2">
        <v>45151</v>
      </c>
      <c r="C737" s="1" t="s">
        <v>73</v>
      </c>
      <c r="D737" s="1" t="s">
        <v>74</v>
      </c>
      <c r="E737" s="1" t="s">
        <v>36</v>
      </c>
      <c r="F737" s="1" t="s">
        <v>22</v>
      </c>
      <c r="G737" s="1" t="s">
        <v>23</v>
      </c>
      <c r="H737">
        <v>11598</v>
      </c>
      <c r="I737">
        <v>6</v>
      </c>
      <c r="J737">
        <v>2023</v>
      </c>
      <c r="K737" s="1" t="s">
        <v>874</v>
      </c>
      <c r="L737">
        <v>8</v>
      </c>
      <c r="M737" s="1">
        <v>69588</v>
      </c>
    </row>
    <row r="738" spans="1:13" x14ac:dyDescent="0.3">
      <c r="A738" s="1" t="s">
        <v>795</v>
      </c>
      <c r="B738" s="2">
        <v>44980</v>
      </c>
      <c r="C738" s="1" t="s">
        <v>10</v>
      </c>
      <c r="D738" s="1" t="s">
        <v>11</v>
      </c>
      <c r="E738" s="1" t="s">
        <v>36</v>
      </c>
      <c r="F738" s="1" t="s">
        <v>18</v>
      </c>
      <c r="G738" s="1" t="s">
        <v>40</v>
      </c>
      <c r="H738">
        <v>3369</v>
      </c>
      <c r="I738">
        <v>1</v>
      </c>
      <c r="J738">
        <v>2023</v>
      </c>
      <c r="K738" s="1" t="s">
        <v>871</v>
      </c>
      <c r="L738">
        <v>2</v>
      </c>
      <c r="M738" s="1">
        <v>3369</v>
      </c>
    </row>
    <row r="739" spans="1:13" x14ac:dyDescent="0.3">
      <c r="A739" s="1" t="s">
        <v>796</v>
      </c>
      <c r="B739" s="2">
        <v>45248</v>
      </c>
      <c r="C739" s="1" t="s">
        <v>73</v>
      </c>
      <c r="D739" s="1" t="s">
        <v>74</v>
      </c>
      <c r="E739" s="1" t="s">
        <v>29</v>
      </c>
      <c r="F739" s="1" t="s">
        <v>18</v>
      </c>
      <c r="G739" s="1" t="s">
        <v>14</v>
      </c>
      <c r="H739">
        <v>11316</v>
      </c>
      <c r="I739">
        <v>6</v>
      </c>
      <c r="J739">
        <v>2023</v>
      </c>
      <c r="K739" s="1" t="s">
        <v>873</v>
      </c>
      <c r="L739">
        <v>11</v>
      </c>
      <c r="M739" s="1">
        <v>67896</v>
      </c>
    </row>
    <row r="740" spans="1:13" x14ac:dyDescent="0.3">
      <c r="A740" s="1" t="s">
        <v>797</v>
      </c>
      <c r="B740" s="2">
        <v>45004</v>
      </c>
      <c r="C740" s="1" t="s">
        <v>20</v>
      </c>
      <c r="D740" s="1" t="s">
        <v>21</v>
      </c>
      <c r="E740" s="1" t="s">
        <v>12</v>
      </c>
      <c r="F740" s="1" t="s">
        <v>13</v>
      </c>
      <c r="G740" s="1" t="s">
        <v>14</v>
      </c>
      <c r="H740">
        <v>26950</v>
      </c>
      <c r="I740">
        <v>7</v>
      </c>
      <c r="J740">
        <v>2023</v>
      </c>
      <c r="K740" s="1" t="s">
        <v>870</v>
      </c>
      <c r="L740">
        <v>3</v>
      </c>
      <c r="M740" s="1">
        <v>188650</v>
      </c>
    </row>
    <row r="741" spans="1:13" x14ac:dyDescent="0.3">
      <c r="A741" s="1" t="s">
        <v>798</v>
      </c>
      <c r="B741" s="2">
        <v>45015</v>
      </c>
      <c r="C741" s="1" t="s">
        <v>64</v>
      </c>
      <c r="D741" s="1" t="s">
        <v>65</v>
      </c>
      <c r="E741" s="1" t="s">
        <v>12</v>
      </c>
      <c r="F741" s="1" t="s">
        <v>22</v>
      </c>
      <c r="G741" s="1" t="s">
        <v>23</v>
      </c>
      <c r="H741">
        <v>24372</v>
      </c>
      <c r="I741">
        <v>6</v>
      </c>
      <c r="J741">
        <v>2023</v>
      </c>
      <c r="K741" s="1" t="s">
        <v>870</v>
      </c>
      <c r="L741">
        <v>3</v>
      </c>
      <c r="M741" s="1">
        <v>146232</v>
      </c>
    </row>
    <row r="742" spans="1:13" x14ac:dyDescent="0.3">
      <c r="A742" s="1" t="s">
        <v>799</v>
      </c>
      <c r="B742" s="2">
        <v>45148</v>
      </c>
      <c r="C742" s="1" t="s">
        <v>31</v>
      </c>
      <c r="D742" s="1" t="s">
        <v>32</v>
      </c>
      <c r="E742" s="1" t="s">
        <v>29</v>
      </c>
      <c r="F742" s="1" t="s">
        <v>18</v>
      </c>
      <c r="G742" s="1" t="s">
        <v>40</v>
      </c>
      <c r="H742">
        <v>5592</v>
      </c>
      <c r="I742">
        <v>4</v>
      </c>
      <c r="J742">
        <v>2023</v>
      </c>
      <c r="K742" s="1" t="s">
        <v>874</v>
      </c>
      <c r="L742">
        <v>8</v>
      </c>
      <c r="M742" s="1">
        <v>22368</v>
      </c>
    </row>
    <row r="743" spans="1:13" x14ac:dyDescent="0.3">
      <c r="A743" s="1" t="s">
        <v>800</v>
      </c>
      <c r="B743" s="2">
        <v>45056</v>
      </c>
      <c r="C743" s="1" t="s">
        <v>20</v>
      </c>
      <c r="D743" s="1" t="s">
        <v>21</v>
      </c>
      <c r="E743" s="1" t="s">
        <v>36</v>
      </c>
      <c r="F743" s="1" t="s">
        <v>25</v>
      </c>
      <c r="G743" s="1" t="s">
        <v>14</v>
      </c>
      <c r="H743">
        <v>18520</v>
      </c>
      <c r="I743">
        <v>5</v>
      </c>
      <c r="J743">
        <v>2023</v>
      </c>
      <c r="K743" s="1" t="s">
        <v>872</v>
      </c>
      <c r="L743">
        <v>5</v>
      </c>
      <c r="M743" s="1">
        <v>92600</v>
      </c>
    </row>
    <row r="744" spans="1:13" x14ac:dyDescent="0.3">
      <c r="A744" s="1" t="s">
        <v>801</v>
      </c>
      <c r="B744" s="2">
        <v>45274</v>
      </c>
      <c r="C744" s="1" t="s">
        <v>67</v>
      </c>
      <c r="D744" s="1" t="s">
        <v>68</v>
      </c>
      <c r="E744" s="1" t="s">
        <v>12</v>
      </c>
      <c r="F744" s="1" t="s">
        <v>25</v>
      </c>
      <c r="G744" s="1" t="s">
        <v>40</v>
      </c>
      <c r="H744">
        <v>14715</v>
      </c>
      <c r="I744">
        <v>9</v>
      </c>
      <c r="J744">
        <v>2023</v>
      </c>
      <c r="K744" s="1" t="s">
        <v>869</v>
      </c>
      <c r="L744">
        <v>12</v>
      </c>
      <c r="M744" s="1">
        <v>132435</v>
      </c>
    </row>
    <row r="745" spans="1:13" x14ac:dyDescent="0.3">
      <c r="A745" s="1" t="s">
        <v>802</v>
      </c>
      <c r="B745" s="2">
        <v>44990</v>
      </c>
      <c r="C745" s="1" t="s">
        <v>16</v>
      </c>
      <c r="D745" s="1" t="s">
        <v>17</v>
      </c>
      <c r="E745" s="1" t="s">
        <v>36</v>
      </c>
      <c r="F745" s="1" t="s">
        <v>22</v>
      </c>
      <c r="G745" s="1" t="s">
        <v>40</v>
      </c>
      <c r="H745">
        <v>20776</v>
      </c>
      <c r="I745">
        <v>7</v>
      </c>
      <c r="J745">
        <v>2023</v>
      </c>
      <c r="K745" s="1" t="s">
        <v>870</v>
      </c>
      <c r="L745">
        <v>3</v>
      </c>
      <c r="M745" s="1">
        <v>145432</v>
      </c>
    </row>
    <row r="746" spans="1:13" x14ac:dyDescent="0.3">
      <c r="A746" s="1" t="s">
        <v>803</v>
      </c>
      <c r="B746" s="2">
        <v>44979</v>
      </c>
      <c r="C746" s="1" t="s">
        <v>109</v>
      </c>
      <c r="D746" s="1" t="s">
        <v>110</v>
      </c>
      <c r="E746" s="1" t="s">
        <v>36</v>
      </c>
      <c r="F746" s="1" t="s">
        <v>13</v>
      </c>
      <c r="G746" s="1" t="s">
        <v>14</v>
      </c>
      <c r="H746">
        <v>8184</v>
      </c>
      <c r="I746">
        <v>6</v>
      </c>
      <c r="J746">
        <v>2023</v>
      </c>
      <c r="K746" s="1" t="s">
        <v>871</v>
      </c>
      <c r="L746">
        <v>2</v>
      </c>
      <c r="M746" s="1">
        <v>49104</v>
      </c>
    </row>
    <row r="747" spans="1:13" x14ac:dyDescent="0.3">
      <c r="A747" s="1" t="s">
        <v>804</v>
      </c>
      <c r="B747" s="2">
        <v>45079</v>
      </c>
      <c r="C747" s="1" t="s">
        <v>43</v>
      </c>
      <c r="D747" s="1" t="s">
        <v>44</v>
      </c>
      <c r="E747" s="1" t="s">
        <v>36</v>
      </c>
      <c r="F747" s="1" t="s">
        <v>22</v>
      </c>
      <c r="G747" s="1" t="s">
        <v>40</v>
      </c>
      <c r="H747">
        <v>5855</v>
      </c>
      <c r="I747">
        <v>5</v>
      </c>
      <c r="J747">
        <v>2023</v>
      </c>
      <c r="K747" s="1" t="s">
        <v>863</v>
      </c>
      <c r="L747">
        <v>6</v>
      </c>
      <c r="M747" s="1">
        <v>29275</v>
      </c>
    </row>
    <row r="748" spans="1:13" x14ac:dyDescent="0.3">
      <c r="A748" s="1" t="s">
        <v>805</v>
      </c>
      <c r="B748" s="2">
        <v>45090</v>
      </c>
      <c r="C748" s="1" t="s">
        <v>27</v>
      </c>
      <c r="D748" s="1" t="s">
        <v>28</v>
      </c>
      <c r="E748" s="1" t="s">
        <v>12</v>
      </c>
      <c r="F748" s="1" t="s">
        <v>13</v>
      </c>
      <c r="G748" s="1" t="s">
        <v>14</v>
      </c>
      <c r="H748">
        <v>4707</v>
      </c>
      <c r="I748">
        <v>1</v>
      </c>
      <c r="J748">
        <v>2023</v>
      </c>
      <c r="K748" s="1" t="s">
        <v>863</v>
      </c>
      <c r="L748">
        <v>6</v>
      </c>
      <c r="M748" s="1">
        <v>4707</v>
      </c>
    </row>
    <row r="749" spans="1:13" x14ac:dyDescent="0.3">
      <c r="A749" s="1" t="s">
        <v>806</v>
      </c>
      <c r="B749" s="2">
        <v>45067</v>
      </c>
      <c r="C749" s="1" t="s">
        <v>109</v>
      </c>
      <c r="D749" s="1" t="s">
        <v>110</v>
      </c>
      <c r="E749" s="1" t="s">
        <v>36</v>
      </c>
      <c r="F749" s="1" t="s">
        <v>18</v>
      </c>
      <c r="G749" s="1" t="s">
        <v>14</v>
      </c>
      <c r="H749">
        <v>5361</v>
      </c>
      <c r="I749">
        <v>3</v>
      </c>
      <c r="J749">
        <v>2023</v>
      </c>
      <c r="K749" s="1" t="s">
        <v>872</v>
      </c>
      <c r="L749">
        <v>5</v>
      </c>
      <c r="M749" s="1">
        <v>16083</v>
      </c>
    </row>
    <row r="750" spans="1:13" x14ac:dyDescent="0.3">
      <c r="A750" s="1" t="s">
        <v>807</v>
      </c>
      <c r="B750" s="2">
        <v>45116</v>
      </c>
      <c r="C750" s="1" t="s">
        <v>67</v>
      </c>
      <c r="D750" s="1" t="s">
        <v>68</v>
      </c>
      <c r="E750" s="1" t="s">
        <v>29</v>
      </c>
      <c r="F750" s="1" t="s">
        <v>13</v>
      </c>
      <c r="G750" s="1" t="s">
        <v>23</v>
      </c>
      <c r="H750">
        <v>27272</v>
      </c>
      <c r="I750">
        <v>7</v>
      </c>
      <c r="J750">
        <v>2023</v>
      </c>
      <c r="K750" s="1" t="s">
        <v>864</v>
      </c>
      <c r="L750">
        <v>7</v>
      </c>
      <c r="M750" s="1">
        <v>190904</v>
      </c>
    </row>
    <row r="751" spans="1:13" x14ac:dyDescent="0.3">
      <c r="A751" s="1" t="s">
        <v>808</v>
      </c>
      <c r="B751" s="2">
        <v>45232</v>
      </c>
      <c r="C751" s="1" t="s">
        <v>27</v>
      </c>
      <c r="D751" s="1" t="s">
        <v>28</v>
      </c>
      <c r="E751" s="1" t="s">
        <v>36</v>
      </c>
      <c r="F751" s="1" t="s">
        <v>13</v>
      </c>
      <c r="G751" s="1" t="s">
        <v>23</v>
      </c>
      <c r="H751">
        <v>4347</v>
      </c>
      <c r="I751">
        <v>1</v>
      </c>
      <c r="J751">
        <v>2023</v>
      </c>
      <c r="K751" s="1" t="s">
        <v>873</v>
      </c>
      <c r="L751">
        <v>11</v>
      </c>
      <c r="M751" s="1">
        <v>4347</v>
      </c>
    </row>
    <row r="752" spans="1:13" x14ac:dyDescent="0.3">
      <c r="A752" s="1" t="s">
        <v>809</v>
      </c>
      <c r="B752" s="2">
        <v>45091</v>
      </c>
      <c r="C752" s="1" t="s">
        <v>50</v>
      </c>
      <c r="D752" s="1" t="s">
        <v>51</v>
      </c>
      <c r="E752" s="1" t="s">
        <v>29</v>
      </c>
      <c r="F752" s="1" t="s">
        <v>22</v>
      </c>
      <c r="G752" s="1" t="s">
        <v>23</v>
      </c>
      <c r="H752">
        <v>9435</v>
      </c>
      <c r="I752">
        <v>3</v>
      </c>
      <c r="J752">
        <v>2023</v>
      </c>
      <c r="K752" s="1" t="s">
        <v>863</v>
      </c>
      <c r="L752">
        <v>6</v>
      </c>
      <c r="M752" s="1">
        <v>28305</v>
      </c>
    </row>
    <row r="753" spans="1:13" x14ac:dyDescent="0.3">
      <c r="A753" s="1" t="s">
        <v>810</v>
      </c>
      <c r="B753" s="2">
        <v>44944</v>
      </c>
      <c r="C753" s="1" t="s">
        <v>89</v>
      </c>
      <c r="D753" s="1" t="s">
        <v>90</v>
      </c>
      <c r="E753" s="1" t="s">
        <v>29</v>
      </c>
      <c r="F753" s="1" t="s">
        <v>22</v>
      </c>
      <c r="G753" s="1" t="s">
        <v>40</v>
      </c>
      <c r="H753">
        <v>28840</v>
      </c>
      <c r="I753">
        <v>7</v>
      </c>
      <c r="J753">
        <v>2023</v>
      </c>
      <c r="K753" s="1" t="s">
        <v>868</v>
      </c>
      <c r="L753">
        <v>1</v>
      </c>
      <c r="M753" s="1">
        <v>201880</v>
      </c>
    </row>
    <row r="754" spans="1:13" x14ac:dyDescent="0.3">
      <c r="A754" s="1" t="s">
        <v>811</v>
      </c>
      <c r="B754" s="2">
        <v>45103</v>
      </c>
      <c r="C754" s="1" t="s">
        <v>50</v>
      </c>
      <c r="D754" s="1" t="s">
        <v>51</v>
      </c>
      <c r="E754" s="1" t="s">
        <v>29</v>
      </c>
      <c r="F754" s="1" t="s">
        <v>13</v>
      </c>
      <c r="G754" s="1" t="s">
        <v>40</v>
      </c>
      <c r="H754">
        <v>24374</v>
      </c>
      <c r="I754">
        <v>7</v>
      </c>
      <c r="J754">
        <v>2023</v>
      </c>
      <c r="K754" s="1" t="s">
        <v>863</v>
      </c>
      <c r="L754">
        <v>6</v>
      </c>
      <c r="M754" s="1">
        <v>170618</v>
      </c>
    </row>
    <row r="755" spans="1:13" x14ac:dyDescent="0.3">
      <c r="A755" s="1" t="s">
        <v>812</v>
      </c>
      <c r="B755" s="2">
        <v>45193</v>
      </c>
      <c r="C755" s="1" t="s">
        <v>109</v>
      </c>
      <c r="D755" s="1" t="s">
        <v>110</v>
      </c>
      <c r="E755" s="1" t="s">
        <v>12</v>
      </c>
      <c r="F755" s="1" t="s">
        <v>22</v>
      </c>
      <c r="G755" s="1" t="s">
        <v>23</v>
      </c>
      <c r="H755">
        <v>18690</v>
      </c>
      <c r="I755">
        <v>5</v>
      </c>
      <c r="J755">
        <v>2023</v>
      </c>
      <c r="K755" s="1" t="s">
        <v>866</v>
      </c>
      <c r="L755">
        <v>9</v>
      </c>
      <c r="M755" s="1">
        <v>93450</v>
      </c>
    </row>
    <row r="756" spans="1:13" x14ac:dyDescent="0.3">
      <c r="A756" s="1" t="s">
        <v>813</v>
      </c>
      <c r="B756" s="2">
        <v>44940</v>
      </c>
      <c r="C756" s="1" t="s">
        <v>43</v>
      </c>
      <c r="D756" s="1" t="s">
        <v>44</v>
      </c>
      <c r="E756" s="1" t="s">
        <v>12</v>
      </c>
      <c r="F756" s="1" t="s">
        <v>25</v>
      </c>
      <c r="G756" s="1" t="s">
        <v>14</v>
      </c>
      <c r="H756">
        <v>7050</v>
      </c>
      <c r="I756">
        <v>5</v>
      </c>
      <c r="J756">
        <v>2023</v>
      </c>
      <c r="K756" s="1" t="s">
        <v>868</v>
      </c>
      <c r="L756">
        <v>1</v>
      </c>
      <c r="M756" s="1">
        <v>35250</v>
      </c>
    </row>
    <row r="757" spans="1:13" x14ac:dyDescent="0.3">
      <c r="A757" s="1" t="s">
        <v>814</v>
      </c>
      <c r="B757" s="2">
        <v>45007</v>
      </c>
      <c r="C757" s="1" t="s">
        <v>77</v>
      </c>
      <c r="D757" s="1" t="s">
        <v>78</v>
      </c>
      <c r="E757" s="1" t="s">
        <v>12</v>
      </c>
      <c r="F757" s="1" t="s">
        <v>18</v>
      </c>
      <c r="G757" s="1" t="s">
        <v>40</v>
      </c>
      <c r="H757">
        <v>26955</v>
      </c>
      <c r="I757">
        <v>9</v>
      </c>
      <c r="J757">
        <v>2023</v>
      </c>
      <c r="K757" s="1" t="s">
        <v>870</v>
      </c>
      <c r="L757">
        <v>3</v>
      </c>
      <c r="M757" s="1">
        <v>242595</v>
      </c>
    </row>
    <row r="758" spans="1:13" x14ac:dyDescent="0.3">
      <c r="A758" s="1" t="s">
        <v>815</v>
      </c>
      <c r="B758" s="2">
        <v>45167</v>
      </c>
      <c r="C758" s="1" t="s">
        <v>38</v>
      </c>
      <c r="D758" s="1" t="s">
        <v>39</v>
      </c>
      <c r="E758" s="1" t="s">
        <v>29</v>
      </c>
      <c r="F758" s="1" t="s">
        <v>13</v>
      </c>
      <c r="G758" s="1" t="s">
        <v>14</v>
      </c>
      <c r="H758">
        <v>6426</v>
      </c>
      <c r="I758">
        <v>7</v>
      </c>
      <c r="J758">
        <v>2023</v>
      </c>
      <c r="K758" s="1" t="s">
        <v>874</v>
      </c>
      <c r="L758">
        <v>8</v>
      </c>
      <c r="M758" s="1">
        <v>44982</v>
      </c>
    </row>
    <row r="759" spans="1:13" x14ac:dyDescent="0.3">
      <c r="A759" s="1" t="s">
        <v>816</v>
      </c>
      <c r="B759" s="2">
        <v>45154</v>
      </c>
      <c r="C759" s="1" t="s">
        <v>109</v>
      </c>
      <c r="D759" s="1" t="s">
        <v>110</v>
      </c>
      <c r="E759" s="1" t="s">
        <v>36</v>
      </c>
      <c r="F759" s="1" t="s">
        <v>25</v>
      </c>
      <c r="G759" s="1" t="s">
        <v>14</v>
      </c>
      <c r="H759">
        <v>8682</v>
      </c>
      <c r="I759">
        <v>6</v>
      </c>
      <c r="J759">
        <v>2023</v>
      </c>
      <c r="K759" s="1" t="s">
        <v>874</v>
      </c>
      <c r="L759">
        <v>8</v>
      </c>
      <c r="M759" s="1">
        <v>52092</v>
      </c>
    </row>
    <row r="760" spans="1:13" x14ac:dyDescent="0.3">
      <c r="A760" s="1" t="s">
        <v>817</v>
      </c>
      <c r="B760" s="2">
        <v>45075</v>
      </c>
      <c r="C760" s="1" t="s">
        <v>31</v>
      </c>
      <c r="D760" s="1" t="s">
        <v>32</v>
      </c>
      <c r="E760" s="1" t="s">
        <v>29</v>
      </c>
      <c r="F760" s="1" t="s">
        <v>18</v>
      </c>
      <c r="G760" s="1" t="s">
        <v>14</v>
      </c>
      <c r="H760">
        <v>19791</v>
      </c>
      <c r="I760">
        <v>9</v>
      </c>
      <c r="J760">
        <v>2023</v>
      </c>
      <c r="K760" s="1" t="s">
        <v>872</v>
      </c>
      <c r="L760">
        <v>5</v>
      </c>
      <c r="M760" s="1">
        <v>178119</v>
      </c>
    </row>
    <row r="761" spans="1:13" x14ac:dyDescent="0.3">
      <c r="A761" s="1" t="s">
        <v>818</v>
      </c>
      <c r="B761" s="2">
        <v>44965</v>
      </c>
      <c r="C761" s="1" t="s">
        <v>43</v>
      </c>
      <c r="D761" s="1" t="s">
        <v>44</v>
      </c>
      <c r="E761" s="1" t="s">
        <v>29</v>
      </c>
      <c r="F761" s="1" t="s">
        <v>25</v>
      </c>
      <c r="G761" s="1" t="s">
        <v>14</v>
      </c>
      <c r="H761">
        <v>9096</v>
      </c>
      <c r="I761">
        <v>8</v>
      </c>
      <c r="J761">
        <v>2023</v>
      </c>
      <c r="K761" s="1" t="s">
        <v>871</v>
      </c>
      <c r="L761">
        <v>2</v>
      </c>
      <c r="M761" s="1">
        <v>72768</v>
      </c>
    </row>
    <row r="762" spans="1:13" x14ac:dyDescent="0.3">
      <c r="A762" s="1" t="s">
        <v>819</v>
      </c>
      <c r="B762" s="2">
        <v>45109</v>
      </c>
      <c r="C762" s="1" t="s">
        <v>77</v>
      </c>
      <c r="D762" s="1" t="s">
        <v>78</v>
      </c>
      <c r="E762" s="1" t="s">
        <v>29</v>
      </c>
      <c r="F762" s="1" t="s">
        <v>18</v>
      </c>
      <c r="G762" s="1" t="s">
        <v>23</v>
      </c>
      <c r="H762">
        <v>11260</v>
      </c>
      <c r="I762">
        <v>5</v>
      </c>
      <c r="J762">
        <v>2023</v>
      </c>
      <c r="K762" s="1" t="s">
        <v>864</v>
      </c>
      <c r="L762">
        <v>7</v>
      </c>
      <c r="M762" s="1">
        <v>56300</v>
      </c>
    </row>
    <row r="763" spans="1:13" x14ac:dyDescent="0.3">
      <c r="A763" s="1" t="s">
        <v>820</v>
      </c>
      <c r="B763" s="2">
        <v>45167</v>
      </c>
      <c r="C763" s="1" t="s">
        <v>64</v>
      </c>
      <c r="D763" s="1" t="s">
        <v>65</v>
      </c>
      <c r="E763" s="1" t="s">
        <v>12</v>
      </c>
      <c r="F763" s="1" t="s">
        <v>25</v>
      </c>
      <c r="G763" s="1" t="s">
        <v>14</v>
      </c>
      <c r="H763">
        <v>16915</v>
      </c>
      <c r="I763">
        <v>5</v>
      </c>
      <c r="J763">
        <v>2023</v>
      </c>
      <c r="K763" s="1" t="s">
        <v>874</v>
      </c>
      <c r="L763">
        <v>8</v>
      </c>
      <c r="M763" s="1">
        <v>84575</v>
      </c>
    </row>
    <row r="764" spans="1:13" x14ac:dyDescent="0.3">
      <c r="A764" s="1" t="s">
        <v>821</v>
      </c>
      <c r="B764" s="2">
        <v>45097</v>
      </c>
      <c r="C764" s="1" t="s">
        <v>123</v>
      </c>
      <c r="D764" s="1" t="s">
        <v>124</v>
      </c>
      <c r="E764" s="1" t="s">
        <v>36</v>
      </c>
      <c r="F764" s="1" t="s">
        <v>25</v>
      </c>
      <c r="G764" s="1" t="s">
        <v>40</v>
      </c>
      <c r="H764">
        <v>7818</v>
      </c>
      <c r="I764">
        <v>2</v>
      </c>
      <c r="J764">
        <v>2023</v>
      </c>
      <c r="K764" s="1" t="s">
        <v>863</v>
      </c>
      <c r="L764">
        <v>6</v>
      </c>
      <c r="M764" s="1">
        <v>15636</v>
      </c>
    </row>
    <row r="765" spans="1:13" x14ac:dyDescent="0.3">
      <c r="A765" s="1" t="s">
        <v>822</v>
      </c>
      <c r="B765" s="2">
        <v>45284</v>
      </c>
      <c r="C765" s="1" t="s">
        <v>53</v>
      </c>
      <c r="D765" s="1" t="s">
        <v>54</v>
      </c>
      <c r="E765" s="1" t="s">
        <v>12</v>
      </c>
      <c r="F765" s="1" t="s">
        <v>25</v>
      </c>
      <c r="G765" s="1" t="s">
        <v>14</v>
      </c>
      <c r="H765">
        <v>1468</v>
      </c>
      <c r="I765">
        <v>1</v>
      </c>
      <c r="J765">
        <v>2023</v>
      </c>
      <c r="K765" s="1" t="s">
        <v>869</v>
      </c>
      <c r="L765">
        <v>12</v>
      </c>
      <c r="M765" s="1">
        <v>1468</v>
      </c>
    </row>
    <row r="766" spans="1:13" x14ac:dyDescent="0.3">
      <c r="A766" s="1" t="s">
        <v>823</v>
      </c>
      <c r="B766" s="2">
        <v>45110</v>
      </c>
      <c r="C766" s="1" t="s">
        <v>77</v>
      </c>
      <c r="D766" s="1" t="s">
        <v>78</v>
      </c>
      <c r="E766" s="1" t="s">
        <v>29</v>
      </c>
      <c r="F766" s="1" t="s">
        <v>18</v>
      </c>
      <c r="G766" s="1" t="s">
        <v>14</v>
      </c>
      <c r="H766">
        <v>13300</v>
      </c>
      <c r="I766">
        <v>5</v>
      </c>
      <c r="J766">
        <v>2023</v>
      </c>
      <c r="K766" s="1" t="s">
        <v>864</v>
      </c>
      <c r="L766">
        <v>7</v>
      </c>
      <c r="M766" s="1">
        <v>66500</v>
      </c>
    </row>
    <row r="767" spans="1:13" x14ac:dyDescent="0.3">
      <c r="A767" s="1" t="s">
        <v>824</v>
      </c>
      <c r="B767" s="2">
        <v>45076</v>
      </c>
      <c r="C767" s="1" t="s">
        <v>67</v>
      </c>
      <c r="D767" s="1" t="s">
        <v>68</v>
      </c>
      <c r="E767" s="1" t="s">
        <v>12</v>
      </c>
      <c r="F767" s="1" t="s">
        <v>22</v>
      </c>
      <c r="G767" s="1" t="s">
        <v>23</v>
      </c>
      <c r="H767">
        <v>3316</v>
      </c>
      <c r="I767">
        <v>4</v>
      </c>
      <c r="J767">
        <v>2023</v>
      </c>
      <c r="K767" s="1" t="s">
        <v>872</v>
      </c>
      <c r="L767">
        <v>5</v>
      </c>
      <c r="M767" s="1">
        <v>13264</v>
      </c>
    </row>
    <row r="768" spans="1:13" x14ac:dyDescent="0.3">
      <c r="A768" s="1" t="s">
        <v>825</v>
      </c>
      <c r="B768" s="2">
        <v>45176</v>
      </c>
      <c r="C768" s="1" t="s">
        <v>50</v>
      </c>
      <c r="D768" s="1" t="s">
        <v>51</v>
      </c>
      <c r="E768" s="1" t="s">
        <v>29</v>
      </c>
      <c r="F768" s="1" t="s">
        <v>22</v>
      </c>
      <c r="G768" s="1" t="s">
        <v>14</v>
      </c>
      <c r="H768">
        <v>3826</v>
      </c>
      <c r="I768">
        <v>1</v>
      </c>
      <c r="J768">
        <v>2023</v>
      </c>
      <c r="K768" s="1" t="s">
        <v>866</v>
      </c>
      <c r="L768">
        <v>9</v>
      </c>
      <c r="M768" s="1">
        <v>3826</v>
      </c>
    </row>
    <row r="769" spans="1:13" x14ac:dyDescent="0.3">
      <c r="A769" s="1" t="s">
        <v>826</v>
      </c>
      <c r="B769" s="2">
        <v>45126</v>
      </c>
      <c r="C769" s="1" t="s">
        <v>73</v>
      </c>
      <c r="D769" s="1" t="s">
        <v>74</v>
      </c>
      <c r="E769" s="1" t="s">
        <v>36</v>
      </c>
      <c r="F769" s="1" t="s">
        <v>25</v>
      </c>
      <c r="G769" s="1" t="s">
        <v>23</v>
      </c>
      <c r="H769">
        <v>32459</v>
      </c>
      <c r="I769">
        <v>7</v>
      </c>
      <c r="J769">
        <v>2023</v>
      </c>
      <c r="K769" s="1" t="s">
        <v>864</v>
      </c>
      <c r="L769">
        <v>7</v>
      </c>
      <c r="M769" s="1">
        <v>227213</v>
      </c>
    </row>
    <row r="770" spans="1:13" x14ac:dyDescent="0.3">
      <c r="A770" s="1" t="s">
        <v>827</v>
      </c>
      <c r="B770" s="2">
        <v>44981</v>
      </c>
      <c r="C770" s="1" t="s">
        <v>47</v>
      </c>
      <c r="D770" s="1" t="s">
        <v>48</v>
      </c>
      <c r="E770" s="1" t="s">
        <v>36</v>
      </c>
      <c r="F770" s="1" t="s">
        <v>13</v>
      </c>
      <c r="G770" s="1" t="s">
        <v>40</v>
      </c>
      <c r="H770">
        <v>29520</v>
      </c>
      <c r="I770">
        <v>6</v>
      </c>
      <c r="J770">
        <v>2023</v>
      </c>
      <c r="K770" s="1" t="s">
        <v>871</v>
      </c>
      <c r="L770">
        <v>2</v>
      </c>
      <c r="M770" s="1">
        <v>177120</v>
      </c>
    </row>
    <row r="771" spans="1:13" x14ac:dyDescent="0.3">
      <c r="A771" s="1" t="s">
        <v>828</v>
      </c>
      <c r="B771" s="2">
        <v>45215</v>
      </c>
      <c r="C771" s="1" t="s">
        <v>20</v>
      </c>
      <c r="D771" s="1" t="s">
        <v>21</v>
      </c>
      <c r="E771" s="1" t="s">
        <v>29</v>
      </c>
      <c r="F771" s="1" t="s">
        <v>25</v>
      </c>
      <c r="G771" s="1" t="s">
        <v>23</v>
      </c>
      <c r="H771">
        <v>21585</v>
      </c>
      <c r="I771">
        <v>5</v>
      </c>
      <c r="J771">
        <v>2023</v>
      </c>
      <c r="K771" s="1" t="s">
        <v>865</v>
      </c>
      <c r="L771">
        <v>10</v>
      </c>
      <c r="M771" s="1">
        <v>107925</v>
      </c>
    </row>
    <row r="772" spans="1:13" x14ac:dyDescent="0.3">
      <c r="A772" s="1" t="s">
        <v>829</v>
      </c>
      <c r="B772" s="2">
        <v>44995</v>
      </c>
      <c r="C772" s="1" t="s">
        <v>34</v>
      </c>
      <c r="D772" s="1" t="s">
        <v>35</v>
      </c>
      <c r="E772" s="1" t="s">
        <v>29</v>
      </c>
      <c r="F772" s="1" t="s">
        <v>22</v>
      </c>
      <c r="G772" s="1" t="s">
        <v>23</v>
      </c>
      <c r="H772">
        <v>6700</v>
      </c>
      <c r="I772">
        <v>2</v>
      </c>
      <c r="J772">
        <v>2023</v>
      </c>
      <c r="K772" s="1" t="s">
        <v>870</v>
      </c>
      <c r="L772">
        <v>3</v>
      </c>
      <c r="M772" s="1">
        <v>13400</v>
      </c>
    </row>
    <row r="773" spans="1:13" x14ac:dyDescent="0.3">
      <c r="A773" s="1" t="s">
        <v>830</v>
      </c>
      <c r="B773" s="2">
        <v>45150</v>
      </c>
      <c r="C773" s="1" t="s">
        <v>61</v>
      </c>
      <c r="D773" s="1" t="s">
        <v>62</v>
      </c>
      <c r="E773" s="1" t="s">
        <v>36</v>
      </c>
      <c r="F773" s="1" t="s">
        <v>13</v>
      </c>
      <c r="G773" s="1" t="s">
        <v>14</v>
      </c>
      <c r="H773">
        <v>17440</v>
      </c>
      <c r="I773">
        <v>5</v>
      </c>
      <c r="J773">
        <v>2023</v>
      </c>
      <c r="K773" s="1" t="s">
        <v>874</v>
      </c>
      <c r="L773">
        <v>8</v>
      </c>
      <c r="M773" s="1">
        <v>87200</v>
      </c>
    </row>
    <row r="774" spans="1:13" x14ac:dyDescent="0.3">
      <c r="A774" s="1" t="s">
        <v>831</v>
      </c>
      <c r="B774" s="2">
        <v>45180</v>
      </c>
      <c r="C774" s="1" t="s">
        <v>43</v>
      </c>
      <c r="D774" s="1" t="s">
        <v>44</v>
      </c>
      <c r="E774" s="1" t="s">
        <v>36</v>
      </c>
      <c r="F774" s="1" t="s">
        <v>22</v>
      </c>
      <c r="G774" s="1" t="s">
        <v>23</v>
      </c>
      <c r="H774">
        <v>18090</v>
      </c>
      <c r="I774">
        <v>6</v>
      </c>
      <c r="J774">
        <v>2023</v>
      </c>
      <c r="K774" s="1" t="s">
        <v>866</v>
      </c>
      <c r="L774">
        <v>9</v>
      </c>
      <c r="M774" s="1">
        <v>108540</v>
      </c>
    </row>
    <row r="775" spans="1:13" x14ac:dyDescent="0.3">
      <c r="A775" s="1" t="s">
        <v>832</v>
      </c>
      <c r="B775" s="2">
        <v>45059</v>
      </c>
      <c r="C775" s="1" t="s">
        <v>61</v>
      </c>
      <c r="D775" s="1" t="s">
        <v>62</v>
      </c>
      <c r="E775" s="1" t="s">
        <v>29</v>
      </c>
      <c r="F775" s="1" t="s">
        <v>25</v>
      </c>
      <c r="G775" s="1" t="s">
        <v>40</v>
      </c>
      <c r="H775">
        <v>33450</v>
      </c>
      <c r="I775">
        <v>10</v>
      </c>
      <c r="J775">
        <v>2023</v>
      </c>
      <c r="K775" s="1" t="s">
        <v>872</v>
      </c>
      <c r="L775">
        <v>5</v>
      </c>
      <c r="M775" s="1">
        <v>334500</v>
      </c>
    </row>
    <row r="776" spans="1:13" x14ac:dyDescent="0.3">
      <c r="A776" s="1" t="s">
        <v>833</v>
      </c>
      <c r="B776" s="2">
        <v>44993</v>
      </c>
      <c r="C776" s="1" t="s">
        <v>16</v>
      </c>
      <c r="D776" s="1" t="s">
        <v>17</v>
      </c>
      <c r="E776" s="1" t="s">
        <v>36</v>
      </c>
      <c r="F776" s="1" t="s">
        <v>25</v>
      </c>
      <c r="G776" s="1" t="s">
        <v>23</v>
      </c>
      <c r="H776">
        <v>12884</v>
      </c>
      <c r="I776">
        <v>4</v>
      </c>
      <c r="J776">
        <v>2023</v>
      </c>
      <c r="K776" s="1" t="s">
        <v>870</v>
      </c>
      <c r="L776">
        <v>3</v>
      </c>
      <c r="M776" s="1">
        <v>51536</v>
      </c>
    </row>
    <row r="777" spans="1:13" x14ac:dyDescent="0.3">
      <c r="A777" s="1" t="s">
        <v>834</v>
      </c>
      <c r="B777" s="2">
        <v>45216</v>
      </c>
      <c r="C777" s="1" t="s">
        <v>31</v>
      </c>
      <c r="D777" s="1" t="s">
        <v>32</v>
      </c>
      <c r="E777" s="1" t="s">
        <v>29</v>
      </c>
      <c r="F777" s="1" t="s">
        <v>22</v>
      </c>
      <c r="G777" s="1" t="s">
        <v>23</v>
      </c>
      <c r="H777">
        <v>11148</v>
      </c>
      <c r="I777">
        <v>4</v>
      </c>
      <c r="J777">
        <v>2023</v>
      </c>
      <c r="K777" s="1" t="s">
        <v>865</v>
      </c>
      <c r="L777">
        <v>10</v>
      </c>
      <c r="M777" s="1">
        <v>44592</v>
      </c>
    </row>
    <row r="778" spans="1:13" x14ac:dyDescent="0.3">
      <c r="A778" s="1" t="s">
        <v>835</v>
      </c>
      <c r="B778" s="2">
        <v>45104</v>
      </c>
      <c r="C778" s="1" t="s">
        <v>34</v>
      </c>
      <c r="D778" s="1" t="s">
        <v>35</v>
      </c>
      <c r="E778" s="1" t="s">
        <v>36</v>
      </c>
      <c r="F778" s="1" t="s">
        <v>22</v>
      </c>
      <c r="G778" s="1" t="s">
        <v>14</v>
      </c>
      <c r="H778">
        <v>4026</v>
      </c>
      <c r="I778">
        <v>3</v>
      </c>
      <c r="J778">
        <v>2023</v>
      </c>
      <c r="K778" s="1" t="s">
        <v>863</v>
      </c>
      <c r="L778">
        <v>6</v>
      </c>
      <c r="M778" s="1">
        <v>12078</v>
      </c>
    </row>
    <row r="779" spans="1:13" x14ac:dyDescent="0.3">
      <c r="A779" s="1" t="s">
        <v>836</v>
      </c>
      <c r="B779" s="2">
        <v>45256</v>
      </c>
      <c r="C779" s="1" t="s">
        <v>77</v>
      </c>
      <c r="D779" s="1" t="s">
        <v>78</v>
      </c>
      <c r="E779" s="1" t="s">
        <v>12</v>
      </c>
      <c r="F779" s="1" t="s">
        <v>25</v>
      </c>
      <c r="G779" s="1" t="s">
        <v>40</v>
      </c>
      <c r="H779">
        <v>15282</v>
      </c>
      <c r="I779">
        <v>6</v>
      </c>
      <c r="J779">
        <v>2023</v>
      </c>
      <c r="K779" s="1" t="s">
        <v>873</v>
      </c>
      <c r="L779">
        <v>11</v>
      </c>
      <c r="M779" s="1">
        <v>91692</v>
      </c>
    </row>
    <row r="780" spans="1:13" x14ac:dyDescent="0.3">
      <c r="A780" s="1" t="s">
        <v>837</v>
      </c>
      <c r="B780" s="2">
        <v>45061</v>
      </c>
      <c r="C780" s="1" t="s">
        <v>34</v>
      </c>
      <c r="D780" s="1" t="s">
        <v>35</v>
      </c>
      <c r="E780" s="1" t="s">
        <v>12</v>
      </c>
      <c r="F780" s="1" t="s">
        <v>18</v>
      </c>
      <c r="G780" s="1" t="s">
        <v>23</v>
      </c>
      <c r="H780">
        <v>12768</v>
      </c>
      <c r="I780">
        <v>7</v>
      </c>
      <c r="J780">
        <v>2023</v>
      </c>
      <c r="K780" s="1" t="s">
        <v>872</v>
      </c>
      <c r="L780">
        <v>5</v>
      </c>
      <c r="M780" s="1">
        <v>89376</v>
      </c>
    </row>
    <row r="781" spans="1:13" x14ac:dyDescent="0.3">
      <c r="A781" s="1" t="s">
        <v>838</v>
      </c>
      <c r="B781" s="2">
        <v>45089</v>
      </c>
      <c r="C781" s="1" t="s">
        <v>53</v>
      </c>
      <c r="D781" s="1" t="s">
        <v>54</v>
      </c>
      <c r="E781" s="1" t="s">
        <v>36</v>
      </c>
      <c r="F781" s="1" t="s">
        <v>22</v>
      </c>
      <c r="G781" s="1" t="s">
        <v>23</v>
      </c>
      <c r="H781">
        <v>12420</v>
      </c>
      <c r="I781">
        <v>10</v>
      </c>
      <c r="J781">
        <v>2023</v>
      </c>
      <c r="K781" s="1" t="s">
        <v>863</v>
      </c>
      <c r="L781">
        <v>6</v>
      </c>
      <c r="M781" s="1">
        <v>124200</v>
      </c>
    </row>
    <row r="782" spans="1:13" x14ac:dyDescent="0.3">
      <c r="A782" s="1" t="s">
        <v>839</v>
      </c>
      <c r="B782" s="2">
        <v>45118</v>
      </c>
      <c r="C782" s="1" t="s">
        <v>123</v>
      </c>
      <c r="D782" s="1" t="s">
        <v>124</v>
      </c>
      <c r="E782" s="1" t="s">
        <v>12</v>
      </c>
      <c r="F782" s="1" t="s">
        <v>18</v>
      </c>
      <c r="G782" s="1" t="s">
        <v>14</v>
      </c>
      <c r="H782">
        <v>4921</v>
      </c>
      <c r="I782">
        <v>1</v>
      </c>
      <c r="J782">
        <v>2023</v>
      </c>
      <c r="K782" s="1" t="s">
        <v>864</v>
      </c>
      <c r="L782">
        <v>7</v>
      </c>
      <c r="M782" s="1">
        <v>4921</v>
      </c>
    </row>
    <row r="783" spans="1:13" x14ac:dyDescent="0.3">
      <c r="A783" s="1" t="s">
        <v>840</v>
      </c>
      <c r="B783" s="2">
        <v>45229</v>
      </c>
      <c r="C783" s="1" t="s">
        <v>73</v>
      </c>
      <c r="D783" s="1" t="s">
        <v>74</v>
      </c>
      <c r="E783" s="1" t="s">
        <v>36</v>
      </c>
      <c r="F783" s="1" t="s">
        <v>22</v>
      </c>
      <c r="G783" s="1" t="s">
        <v>14</v>
      </c>
      <c r="H783">
        <v>17425</v>
      </c>
      <c r="I783">
        <v>5</v>
      </c>
      <c r="J783">
        <v>2023</v>
      </c>
      <c r="K783" s="1" t="s">
        <v>865</v>
      </c>
      <c r="L783">
        <v>10</v>
      </c>
      <c r="M783" s="1">
        <v>87125</v>
      </c>
    </row>
    <row r="784" spans="1:13" x14ac:dyDescent="0.3">
      <c r="A784" s="1" t="s">
        <v>841</v>
      </c>
      <c r="B784" s="2">
        <v>45065</v>
      </c>
      <c r="C784" s="1" t="s">
        <v>47</v>
      </c>
      <c r="D784" s="1" t="s">
        <v>48</v>
      </c>
      <c r="E784" s="1" t="s">
        <v>29</v>
      </c>
      <c r="F784" s="1" t="s">
        <v>22</v>
      </c>
      <c r="G784" s="1" t="s">
        <v>14</v>
      </c>
      <c r="H784">
        <v>14460</v>
      </c>
      <c r="I784">
        <v>6</v>
      </c>
      <c r="J784">
        <v>2023</v>
      </c>
      <c r="K784" s="1" t="s">
        <v>872</v>
      </c>
      <c r="L784">
        <v>5</v>
      </c>
      <c r="M784" s="1">
        <v>86760</v>
      </c>
    </row>
    <row r="785" spans="1:13" x14ac:dyDescent="0.3">
      <c r="A785" s="1" t="s">
        <v>842</v>
      </c>
      <c r="B785" s="2">
        <v>45228</v>
      </c>
      <c r="C785" s="1" t="s">
        <v>10</v>
      </c>
      <c r="D785" s="1" t="s">
        <v>11</v>
      </c>
      <c r="E785" s="1" t="s">
        <v>36</v>
      </c>
      <c r="F785" s="1" t="s">
        <v>13</v>
      </c>
      <c r="G785" s="1" t="s">
        <v>14</v>
      </c>
      <c r="H785">
        <v>10488</v>
      </c>
      <c r="I785">
        <v>6</v>
      </c>
      <c r="J785">
        <v>2023</v>
      </c>
      <c r="K785" s="1" t="s">
        <v>865</v>
      </c>
      <c r="L785">
        <v>10</v>
      </c>
      <c r="M785" s="1">
        <v>62928</v>
      </c>
    </row>
    <row r="786" spans="1:13" x14ac:dyDescent="0.3">
      <c r="A786" s="1" t="s">
        <v>843</v>
      </c>
      <c r="B786" s="2">
        <v>45017</v>
      </c>
      <c r="C786" s="1" t="s">
        <v>38</v>
      </c>
      <c r="D786" s="1" t="s">
        <v>39</v>
      </c>
      <c r="E786" s="1" t="s">
        <v>29</v>
      </c>
      <c r="F786" s="1" t="s">
        <v>25</v>
      </c>
      <c r="G786" s="1" t="s">
        <v>14</v>
      </c>
      <c r="H786">
        <v>29016</v>
      </c>
      <c r="I786">
        <v>9</v>
      </c>
      <c r="J786">
        <v>2023</v>
      </c>
      <c r="K786" s="1" t="s">
        <v>867</v>
      </c>
      <c r="L786">
        <v>4</v>
      </c>
      <c r="M786" s="1">
        <v>261144</v>
      </c>
    </row>
    <row r="787" spans="1:13" x14ac:dyDescent="0.3">
      <c r="A787" s="1" t="s">
        <v>844</v>
      </c>
      <c r="B787" s="2">
        <v>45265</v>
      </c>
      <c r="C787" s="1" t="s">
        <v>31</v>
      </c>
      <c r="D787" s="1" t="s">
        <v>32</v>
      </c>
      <c r="E787" s="1" t="s">
        <v>29</v>
      </c>
      <c r="F787" s="1" t="s">
        <v>13</v>
      </c>
      <c r="G787" s="1" t="s">
        <v>40</v>
      </c>
      <c r="H787">
        <v>7856</v>
      </c>
      <c r="I787">
        <v>2</v>
      </c>
      <c r="J787">
        <v>2023</v>
      </c>
      <c r="K787" s="1" t="s">
        <v>869</v>
      </c>
      <c r="L787">
        <v>12</v>
      </c>
      <c r="M787" s="1">
        <v>15712</v>
      </c>
    </row>
    <row r="788" spans="1:13" x14ac:dyDescent="0.3">
      <c r="A788" s="1" t="s">
        <v>845</v>
      </c>
      <c r="B788" s="2">
        <v>45201</v>
      </c>
      <c r="C788" s="1" t="s">
        <v>123</v>
      </c>
      <c r="D788" s="1" t="s">
        <v>124</v>
      </c>
      <c r="E788" s="1" t="s">
        <v>36</v>
      </c>
      <c r="F788" s="1" t="s">
        <v>18</v>
      </c>
      <c r="G788" s="1" t="s">
        <v>14</v>
      </c>
      <c r="H788">
        <v>2508</v>
      </c>
      <c r="I788">
        <v>2</v>
      </c>
      <c r="J788">
        <v>2023</v>
      </c>
      <c r="K788" s="1" t="s">
        <v>865</v>
      </c>
      <c r="L788">
        <v>10</v>
      </c>
      <c r="M788" s="1">
        <v>5016</v>
      </c>
    </row>
    <row r="789" spans="1:13" x14ac:dyDescent="0.3">
      <c r="A789" s="1" t="s">
        <v>846</v>
      </c>
      <c r="B789" s="2">
        <v>45044</v>
      </c>
      <c r="C789" s="1" t="s">
        <v>43</v>
      </c>
      <c r="D789" s="1" t="s">
        <v>44</v>
      </c>
      <c r="E789" s="1" t="s">
        <v>29</v>
      </c>
      <c r="F789" s="1" t="s">
        <v>13</v>
      </c>
      <c r="G789" s="1" t="s">
        <v>40</v>
      </c>
      <c r="H789">
        <v>9250</v>
      </c>
      <c r="I789">
        <v>10</v>
      </c>
      <c r="J789">
        <v>2023</v>
      </c>
      <c r="K789" s="1" t="s">
        <v>867</v>
      </c>
      <c r="L789">
        <v>4</v>
      </c>
      <c r="M789" s="1">
        <v>92500</v>
      </c>
    </row>
    <row r="790" spans="1:13" x14ac:dyDescent="0.3">
      <c r="A790" s="1" t="s">
        <v>847</v>
      </c>
      <c r="B790" s="2">
        <v>45071</v>
      </c>
      <c r="C790" s="1" t="s">
        <v>50</v>
      </c>
      <c r="D790" s="1" t="s">
        <v>51</v>
      </c>
      <c r="E790" s="1" t="s">
        <v>29</v>
      </c>
      <c r="F790" s="1" t="s">
        <v>25</v>
      </c>
      <c r="G790" s="1" t="s">
        <v>40</v>
      </c>
      <c r="H790">
        <v>3304</v>
      </c>
      <c r="I790">
        <v>4</v>
      </c>
      <c r="J790">
        <v>2023</v>
      </c>
      <c r="K790" s="1" t="s">
        <v>872</v>
      </c>
      <c r="L790">
        <v>5</v>
      </c>
      <c r="M790" s="1">
        <v>13216</v>
      </c>
    </row>
    <row r="791" spans="1:13" x14ac:dyDescent="0.3">
      <c r="A791" s="1" t="s">
        <v>848</v>
      </c>
      <c r="B791" s="2">
        <v>45169</v>
      </c>
      <c r="C791" s="1" t="s">
        <v>137</v>
      </c>
      <c r="D791" s="1" t="s">
        <v>138</v>
      </c>
      <c r="E791" s="1" t="s">
        <v>12</v>
      </c>
      <c r="F791" s="1" t="s">
        <v>18</v>
      </c>
      <c r="G791" s="1" t="s">
        <v>40</v>
      </c>
      <c r="H791">
        <v>7680</v>
      </c>
      <c r="I791">
        <v>8</v>
      </c>
      <c r="J791">
        <v>2023</v>
      </c>
      <c r="K791" s="1" t="s">
        <v>874</v>
      </c>
      <c r="L791">
        <v>8</v>
      </c>
      <c r="M791" s="1">
        <v>61440</v>
      </c>
    </row>
    <row r="792" spans="1:13" x14ac:dyDescent="0.3">
      <c r="A792" s="1" t="s">
        <v>849</v>
      </c>
      <c r="B792" s="2">
        <v>45037</v>
      </c>
      <c r="C792" s="1" t="s">
        <v>31</v>
      </c>
      <c r="D792" s="1" t="s">
        <v>32</v>
      </c>
      <c r="E792" s="1" t="s">
        <v>29</v>
      </c>
      <c r="F792" s="1" t="s">
        <v>18</v>
      </c>
      <c r="G792" s="1" t="s">
        <v>14</v>
      </c>
      <c r="H792">
        <v>19690</v>
      </c>
      <c r="I792">
        <v>5</v>
      </c>
      <c r="J792">
        <v>2023</v>
      </c>
      <c r="K792" s="1" t="s">
        <v>867</v>
      </c>
      <c r="L792">
        <v>4</v>
      </c>
      <c r="M792" s="1">
        <v>98450</v>
      </c>
    </row>
    <row r="793" spans="1:13" x14ac:dyDescent="0.3">
      <c r="A793" s="1" t="s">
        <v>850</v>
      </c>
      <c r="B793" s="2">
        <v>44955</v>
      </c>
      <c r="C793" s="1" t="s">
        <v>73</v>
      </c>
      <c r="D793" s="1" t="s">
        <v>74</v>
      </c>
      <c r="E793" s="1" t="s">
        <v>29</v>
      </c>
      <c r="F793" s="1" t="s">
        <v>25</v>
      </c>
      <c r="G793" s="1" t="s">
        <v>23</v>
      </c>
      <c r="H793">
        <v>1361</v>
      </c>
      <c r="I793">
        <v>1</v>
      </c>
      <c r="J793">
        <v>2023</v>
      </c>
      <c r="K793" s="1" t="s">
        <v>868</v>
      </c>
      <c r="L793">
        <v>1</v>
      </c>
      <c r="M793" s="1">
        <v>1361</v>
      </c>
    </row>
    <row r="794" spans="1:13" x14ac:dyDescent="0.3">
      <c r="A794" s="1" t="s">
        <v>851</v>
      </c>
      <c r="B794" s="2">
        <v>44935</v>
      </c>
      <c r="C794" s="1" t="s">
        <v>10</v>
      </c>
      <c r="D794" s="1" t="s">
        <v>11</v>
      </c>
      <c r="E794" s="1" t="s">
        <v>36</v>
      </c>
      <c r="F794" s="1" t="s">
        <v>18</v>
      </c>
      <c r="G794" s="1" t="s">
        <v>14</v>
      </c>
      <c r="H794">
        <v>11463</v>
      </c>
      <c r="I794">
        <v>3</v>
      </c>
      <c r="J794">
        <v>2023</v>
      </c>
      <c r="K794" s="1" t="s">
        <v>868</v>
      </c>
      <c r="L794">
        <v>1</v>
      </c>
      <c r="M794" s="1">
        <v>34389</v>
      </c>
    </row>
    <row r="795" spans="1:13" x14ac:dyDescent="0.3">
      <c r="A795" s="1" t="s">
        <v>852</v>
      </c>
      <c r="B795" s="2">
        <v>44979</v>
      </c>
      <c r="C795" s="1" t="s">
        <v>64</v>
      </c>
      <c r="D795" s="1" t="s">
        <v>65</v>
      </c>
      <c r="E795" s="1" t="s">
        <v>36</v>
      </c>
      <c r="F795" s="1" t="s">
        <v>22</v>
      </c>
      <c r="G795" s="1" t="s">
        <v>23</v>
      </c>
      <c r="H795">
        <v>14710</v>
      </c>
      <c r="I795">
        <v>5</v>
      </c>
      <c r="J795">
        <v>2023</v>
      </c>
      <c r="K795" s="1" t="s">
        <v>871</v>
      </c>
      <c r="L795">
        <v>2</v>
      </c>
      <c r="M795" s="1">
        <v>73550</v>
      </c>
    </row>
    <row r="796" spans="1:13" x14ac:dyDescent="0.3">
      <c r="A796" s="1" t="s">
        <v>853</v>
      </c>
      <c r="B796" s="2">
        <v>44943</v>
      </c>
      <c r="C796" s="1" t="s">
        <v>64</v>
      </c>
      <c r="D796" s="1" t="s">
        <v>65</v>
      </c>
      <c r="E796" s="1" t="s">
        <v>36</v>
      </c>
      <c r="F796" s="1" t="s">
        <v>18</v>
      </c>
      <c r="G796" s="1" t="s">
        <v>14</v>
      </c>
      <c r="H796">
        <v>17868</v>
      </c>
      <c r="I796">
        <v>4</v>
      </c>
      <c r="J796">
        <v>2023</v>
      </c>
      <c r="K796" s="1" t="s">
        <v>868</v>
      </c>
      <c r="L796">
        <v>1</v>
      </c>
      <c r="M796" s="1">
        <v>71472</v>
      </c>
    </row>
    <row r="797" spans="1:13" x14ac:dyDescent="0.3">
      <c r="A797" s="1" t="s">
        <v>854</v>
      </c>
      <c r="B797" s="2">
        <v>45150</v>
      </c>
      <c r="C797" s="1" t="s">
        <v>50</v>
      </c>
      <c r="D797" s="1" t="s">
        <v>51</v>
      </c>
      <c r="E797" s="1" t="s">
        <v>29</v>
      </c>
      <c r="F797" s="1" t="s">
        <v>18</v>
      </c>
      <c r="G797" s="1" t="s">
        <v>40</v>
      </c>
      <c r="H797">
        <v>14100</v>
      </c>
      <c r="I797">
        <v>3</v>
      </c>
      <c r="J797">
        <v>2023</v>
      </c>
      <c r="K797" s="1" t="s">
        <v>874</v>
      </c>
      <c r="L797">
        <v>8</v>
      </c>
      <c r="M797" s="1">
        <v>42300</v>
      </c>
    </row>
    <row r="798" spans="1:13" x14ac:dyDescent="0.3">
      <c r="A798" s="1" t="s">
        <v>855</v>
      </c>
      <c r="B798" s="2">
        <v>45180</v>
      </c>
      <c r="C798" s="1" t="s">
        <v>43</v>
      </c>
      <c r="D798" s="1" t="s">
        <v>44</v>
      </c>
      <c r="E798" s="1" t="s">
        <v>12</v>
      </c>
      <c r="F798" s="1" t="s">
        <v>13</v>
      </c>
      <c r="G798" s="1" t="s">
        <v>14</v>
      </c>
      <c r="H798">
        <v>13820</v>
      </c>
      <c r="I798">
        <v>4</v>
      </c>
      <c r="J798">
        <v>2023</v>
      </c>
      <c r="K798" s="1" t="s">
        <v>866</v>
      </c>
      <c r="L798">
        <v>9</v>
      </c>
      <c r="M798" s="1">
        <v>55280</v>
      </c>
    </row>
    <row r="799" spans="1:13" x14ac:dyDescent="0.3">
      <c r="A799" s="1" t="s">
        <v>856</v>
      </c>
      <c r="B799" s="2">
        <v>45035</v>
      </c>
      <c r="C799" s="1" t="s">
        <v>77</v>
      </c>
      <c r="D799" s="1" t="s">
        <v>78</v>
      </c>
      <c r="E799" s="1" t="s">
        <v>36</v>
      </c>
      <c r="F799" s="1" t="s">
        <v>18</v>
      </c>
      <c r="G799" s="1" t="s">
        <v>40</v>
      </c>
      <c r="H799">
        <v>24600</v>
      </c>
      <c r="I799">
        <v>6</v>
      </c>
      <c r="J799">
        <v>2023</v>
      </c>
      <c r="K799" s="1" t="s">
        <v>867</v>
      </c>
      <c r="L799">
        <v>4</v>
      </c>
      <c r="M799" s="1">
        <v>147600</v>
      </c>
    </row>
    <row r="800" spans="1:13" x14ac:dyDescent="0.3">
      <c r="A800" s="1" t="s">
        <v>857</v>
      </c>
      <c r="B800" s="2">
        <v>45112</v>
      </c>
      <c r="C800" s="1" t="s">
        <v>38</v>
      </c>
      <c r="D800" s="1" t="s">
        <v>39</v>
      </c>
      <c r="E800" s="1" t="s">
        <v>36</v>
      </c>
      <c r="F800" s="1" t="s">
        <v>18</v>
      </c>
      <c r="G800" s="1" t="s">
        <v>40</v>
      </c>
      <c r="H800">
        <v>16156</v>
      </c>
      <c r="I800">
        <v>4</v>
      </c>
      <c r="J800">
        <v>2023</v>
      </c>
      <c r="K800" s="1" t="s">
        <v>864</v>
      </c>
      <c r="L800">
        <v>7</v>
      </c>
      <c r="M800" s="1">
        <v>64624</v>
      </c>
    </row>
    <row r="801" spans="1:13" x14ac:dyDescent="0.3">
      <c r="A801" s="1" t="s">
        <v>858</v>
      </c>
      <c r="B801" s="2">
        <v>44961</v>
      </c>
      <c r="C801" s="1" t="s">
        <v>64</v>
      </c>
      <c r="D801" s="1" t="s">
        <v>65</v>
      </c>
      <c r="E801" s="1" t="s">
        <v>36</v>
      </c>
      <c r="F801" s="1" t="s">
        <v>25</v>
      </c>
      <c r="G801" s="1" t="s">
        <v>14</v>
      </c>
      <c r="H801">
        <v>11421</v>
      </c>
      <c r="I801">
        <v>9</v>
      </c>
      <c r="J801">
        <v>2023</v>
      </c>
      <c r="K801" s="1" t="s">
        <v>871</v>
      </c>
      <c r="L801">
        <v>2</v>
      </c>
      <c r="M801" s="1">
        <v>102789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74B6-4107-4C60-8BFB-F0DEC9A437A7}">
  <dimension ref="A1:N17"/>
  <sheetViews>
    <sheetView topLeftCell="F1" workbookViewId="0">
      <selection activeCell="A3" sqref="A3"/>
    </sheetView>
  </sheetViews>
  <sheetFormatPr defaultRowHeight="14.4" x14ac:dyDescent="0.3"/>
  <cols>
    <col min="1" max="1" width="14.109375" bestFit="1" customWidth="1"/>
    <col min="2" max="2" width="11.5546875" bestFit="1" customWidth="1"/>
    <col min="4" max="4" width="14.109375" bestFit="1" customWidth="1"/>
    <col min="5" max="5" width="9" bestFit="1" customWidth="1"/>
    <col min="7" max="7" width="16.6640625" bestFit="1" customWidth="1"/>
    <col min="8" max="8" width="9" bestFit="1" customWidth="1"/>
    <col min="10" max="10" width="17.77734375" bestFit="1" customWidth="1"/>
    <col min="11" max="11" width="9" bestFit="1" customWidth="1"/>
    <col min="13" max="13" width="11.33203125" bestFit="1" customWidth="1"/>
    <col min="14" max="14" width="9" bestFit="1" customWidth="1"/>
  </cols>
  <sheetData>
    <row r="1" spans="1:14" ht="15" thickBot="1" x14ac:dyDescent="0.35">
      <c r="A1" s="9" t="s">
        <v>875</v>
      </c>
      <c r="B1" s="9"/>
      <c r="D1" s="9" t="s">
        <v>880</v>
      </c>
      <c r="E1" s="9"/>
      <c r="G1" s="9" t="s">
        <v>881</v>
      </c>
      <c r="H1" s="9"/>
      <c r="J1" s="9" t="s">
        <v>882</v>
      </c>
      <c r="K1" s="9"/>
      <c r="M1" s="10" t="s">
        <v>888</v>
      </c>
      <c r="N1" s="10"/>
    </row>
    <row r="3" spans="1:14" x14ac:dyDescent="0.3">
      <c r="A3" s="3" t="s">
        <v>877</v>
      </c>
      <c r="D3" s="3" t="s">
        <v>877</v>
      </c>
      <c r="G3" s="3" t="s">
        <v>862</v>
      </c>
      <c r="H3" t="s" vm="1">
        <v>879</v>
      </c>
      <c r="J3" s="3" t="s">
        <v>877</v>
      </c>
      <c r="M3" s="3" t="s">
        <v>889</v>
      </c>
    </row>
    <row r="4" spans="1:14" x14ac:dyDescent="0.3">
      <c r="A4" s="3" t="s">
        <v>860</v>
      </c>
      <c r="B4" t="s">
        <v>878</v>
      </c>
      <c r="D4" s="3" t="s">
        <v>5</v>
      </c>
      <c r="E4" t="s">
        <v>878</v>
      </c>
      <c r="J4" s="3" t="s">
        <v>6</v>
      </c>
      <c r="K4" t="s">
        <v>878</v>
      </c>
      <c r="M4" s="3" t="s">
        <v>4</v>
      </c>
      <c r="N4" t="s">
        <v>878</v>
      </c>
    </row>
    <row r="5" spans="1:14" x14ac:dyDescent="0.3">
      <c r="A5" t="s">
        <v>868</v>
      </c>
      <c r="B5" s="5">
        <v>7937096</v>
      </c>
      <c r="D5" t="s">
        <v>25</v>
      </c>
      <c r="E5" s="1">
        <v>23043903</v>
      </c>
      <c r="G5" s="3" t="s">
        <v>877</v>
      </c>
      <c r="J5" t="s">
        <v>23</v>
      </c>
      <c r="K5" s="1">
        <v>33155081</v>
      </c>
      <c r="M5" t="s">
        <v>36</v>
      </c>
      <c r="N5" s="1">
        <v>4022037</v>
      </c>
    </row>
    <row r="6" spans="1:14" x14ac:dyDescent="0.3">
      <c r="A6" t="s">
        <v>871</v>
      </c>
      <c r="B6" s="5">
        <v>4286490</v>
      </c>
      <c r="D6" t="s">
        <v>18</v>
      </c>
      <c r="E6" s="1">
        <v>19845608</v>
      </c>
      <c r="G6" s="3" t="s">
        <v>3</v>
      </c>
      <c r="H6" t="s">
        <v>878</v>
      </c>
      <c r="J6" t="s">
        <v>40</v>
      </c>
      <c r="K6" s="1">
        <v>28554313</v>
      </c>
      <c r="M6" t="s">
        <v>12</v>
      </c>
      <c r="N6" s="1">
        <v>4100837</v>
      </c>
    </row>
    <row r="7" spans="1:14" x14ac:dyDescent="0.3">
      <c r="A7" t="s">
        <v>870</v>
      </c>
      <c r="B7" s="5">
        <v>8698557</v>
      </c>
      <c r="D7" t="s">
        <v>13</v>
      </c>
      <c r="E7" s="1">
        <v>23576494</v>
      </c>
      <c r="G7" t="s">
        <v>48</v>
      </c>
      <c r="H7" s="1">
        <v>5063446</v>
      </c>
      <c r="J7" t="s">
        <v>14</v>
      </c>
      <c r="K7" s="1">
        <v>26516487</v>
      </c>
      <c r="M7" t="s">
        <v>29</v>
      </c>
      <c r="N7" s="1">
        <v>4578709</v>
      </c>
    </row>
    <row r="8" spans="1:14" x14ac:dyDescent="0.3">
      <c r="A8" t="s">
        <v>867</v>
      </c>
      <c r="B8" s="5">
        <v>7611770</v>
      </c>
      <c r="D8" t="s">
        <v>22</v>
      </c>
      <c r="E8" s="1">
        <v>21759876</v>
      </c>
      <c r="G8" t="s">
        <v>78</v>
      </c>
      <c r="H8" s="1">
        <v>5209474</v>
      </c>
      <c r="J8" t="s">
        <v>876</v>
      </c>
      <c r="K8" s="1">
        <v>88225881</v>
      </c>
      <c r="M8" t="s">
        <v>876</v>
      </c>
      <c r="N8" s="1">
        <v>12701583</v>
      </c>
    </row>
    <row r="9" spans="1:14" x14ac:dyDescent="0.3">
      <c r="A9" t="s">
        <v>872</v>
      </c>
      <c r="B9" s="5">
        <v>9267912</v>
      </c>
      <c r="D9" t="s">
        <v>876</v>
      </c>
      <c r="E9" s="1">
        <v>88225881</v>
      </c>
      <c r="G9" t="s">
        <v>35</v>
      </c>
      <c r="H9" s="1">
        <v>5326652</v>
      </c>
    </row>
    <row r="10" spans="1:14" x14ac:dyDescent="0.3">
      <c r="A10" t="s">
        <v>863</v>
      </c>
      <c r="B10" s="5">
        <v>5756210</v>
      </c>
      <c r="G10" t="s">
        <v>32</v>
      </c>
      <c r="H10" s="1">
        <v>5407751</v>
      </c>
    </row>
    <row r="11" spans="1:14" x14ac:dyDescent="0.3">
      <c r="A11" t="s">
        <v>864</v>
      </c>
      <c r="B11" s="5">
        <v>6407728</v>
      </c>
      <c r="G11" t="s">
        <v>68</v>
      </c>
      <c r="H11" s="1">
        <v>6054077</v>
      </c>
    </row>
    <row r="12" spans="1:14" x14ac:dyDescent="0.3">
      <c r="A12" t="s">
        <v>874</v>
      </c>
      <c r="B12" s="5">
        <v>5987371</v>
      </c>
      <c r="G12" t="s">
        <v>876</v>
      </c>
      <c r="H12" s="1">
        <v>27061400</v>
      </c>
    </row>
    <row r="13" spans="1:14" x14ac:dyDescent="0.3">
      <c r="A13" t="s">
        <v>866</v>
      </c>
      <c r="B13" s="5">
        <v>9891670</v>
      </c>
    </row>
    <row r="14" spans="1:14" x14ac:dyDescent="0.3">
      <c r="A14" t="s">
        <v>865</v>
      </c>
      <c r="B14" s="5">
        <v>7510081</v>
      </c>
    </row>
    <row r="15" spans="1:14" x14ac:dyDescent="0.3">
      <c r="A15" t="s">
        <v>873</v>
      </c>
      <c r="B15" s="5">
        <v>8403195</v>
      </c>
    </row>
    <row r="16" spans="1:14" x14ac:dyDescent="0.3">
      <c r="A16" t="s">
        <v>869</v>
      </c>
      <c r="B16" s="5">
        <v>6467801</v>
      </c>
    </row>
    <row r="17" spans="1:2" x14ac:dyDescent="0.3">
      <c r="A17" t="s">
        <v>876</v>
      </c>
      <c r="B17" s="5">
        <v>88225881</v>
      </c>
    </row>
  </sheetData>
  <mergeCells count="5">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A1E7-3CC3-4EB3-9967-736A22A39EBB}">
  <dimension ref="A1:K6"/>
  <sheetViews>
    <sheetView workbookViewId="0">
      <selection activeCell="J6" sqref="J6"/>
    </sheetView>
  </sheetViews>
  <sheetFormatPr defaultRowHeight="14.4" x14ac:dyDescent="0.3"/>
  <cols>
    <col min="1" max="1" width="14.109375" bestFit="1" customWidth="1"/>
    <col min="4" max="4" width="15.109375" bestFit="1" customWidth="1"/>
    <col min="5" max="5" width="9.44140625" customWidth="1"/>
    <col min="6" max="6" width="18.6640625" bestFit="1" customWidth="1"/>
    <col min="7" max="7" width="14" bestFit="1" customWidth="1"/>
    <col min="10" max="10" width="14.109375" bestFit="1" customWidth="1"/>
    <col min="11" max="11" width="15.109375" bestFit="1" customWidth="1"/>
  </cols>
  <sheetData>
    <row r="1" spans="1:11" ht="15" thickBot="1" x14ac:dyDescent="0.35">
      <c r="A1" s="9" t="s">
        <v>883</v>
      </c>
      <c r="B1" s="9"/>
      <c r="D1" s="9" t="s">
        <v>885</v>
      </c>
      <c r="E1" s="9"/>
      <c r="G1" s="9" t="s">
        <v>887</v>
      </c>
      <c r="H1" s="9"/>
      <c r="J1" s="10" t="s">
        <v>890</v>
      </c>
      <c r="K1" s="10"/>
    </row>
    <row r="3" spans="1:11" x14ac:dyDescent="0.3">
      <c r="A3" t="s">
        <v>877</v>
      </c>
      <c r="D3" t="s">
        <v>884</v>
      </c>
      <c r="G3" t="s">
        <v>886</v>
      </c>
      <c r="J3" t="s">
        <v>877</v>
      </c>
      <c r="K3" t="s">
        <v>884</v>
      </c>
    </row>
    <row r="4" spans="1:11" x14ac:dyDescent="0.3">
      <c r="A4" s="1">
        <v>88225881</v>
      </c>
      <c r="D4" s="1">
        <v>800</v>
      </c>
      <c r="G4" s="1">
        <v>4511</v>
      </c>
      <c r="J4" s="1">
        <v>88225881</v>
      </c>
      <c r="K4" s="1">
        <v>800</v>
      </c>
    </row>
    <row r="6" spans="1:11" ht="38.4" x14ac:dyDescent="0.3">
      <c r="A6" s="8">
        <f>GETPIVOTDATA("[Measures].[Sum of Revenue]",$A$3)/1000</f>
        <v>88225.880999999994</v>
      </c>
      <c r="D6" s="6">
        <f>GETPIVOTDATA("[Measures].[Count of order_id]",$D$3)</f>
        <v>800</v>
      </c>
      <c r="G6" s="7">
        <f>GETPIVOTDATA("[Measures].[Sum of quantity]",$G$3)</f>
        <v>4511</v>
      </c>
      <c r="J6" s="8">
        <f>GETPIVOTDATA("[Measures].[Sum of Revenue]",$J$4)/GETPIVOTDATA("[Measures].[Count of order_id]",$J$3)/1000</f>
        <v>110.28235125</v>
      </c>
    </row>
  </sheetData>
  <mergeCells count="4">
    <mergeCell ref="A1:B1"/>
    <mergeCell ref="D1:E1"/>
    <mergeCell ref="G1:H1"/>
    <mergeCell ref="J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FD39-6D4F-4880-BC96-7527C78A0F9B}">
  <dimension ref="B1"/>
  <sheetViews>
    <sheetView showGridLines="0" tabSelected="1" zoomScale="80" zoomScaleNormal="80" workbookViewId="0">
      <selection activeCell="B15" sqref="B1:B1048576"/>
    </sheetView>
  </sheetViews>
  <sheetFormatPr defaultRowHeight="14.4" x14ac:dyDescent="0.3"/>
  <cols>
    <col min="2" max="2"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3070DA7-F111-45A3-8E87-36F8D3CC3504}">
  <ds:schemaRefs/>
</ds:datastoreItem>
</file>

<file path=customXml/itemProps2.xml><?xml version="1.0" encoding="utf-8"?>
<ds:datastoreItem xmlns:ds="http://schemas.openxmlformats.org/officeDocument/2006/customXml" ds:itemID="{F74E1DFC-8E10-4FB4-A832-58DF67BCB5BE}">
  <ds:schemaRefs/>
</ds:datastoreItem>
</file>

<file path=customXml/itemProps3.xml><?xml version="1.0" encoding="utf-8"?>
<ds:datastoreItem xmlns:ds="http://schemas.openxmlformats.org/officeDocument/2006/customXml" ds:itemID="{090264A9-4380-4851-BD2D-E0B01C0796D3}">
  <ds:schemaRefs/>
</ds:datastoreItem>
</file>

<file path=customXml/itemProps4.xml><?xml version="1.0" encoding="utf-8"?>
<ds:datastoreItem xmlns:ds="http://schemas.openxmlformats.org/officeDocument/2006/customXml" ds:itemID="{97F149D7-541F-4E0D-85DA-2961A442FB8D}">
  <ds:schemaRefs/>
</ds:datastoreItem>
</file>

<file path=customXml/itemProps5.xml><?xml version="1.0" encoding="utf-8"?>
<ds:datastoreItem xmlns:ds="http://schemas.openxmlformats.org/officeDocument/2006/customXml" ds:itemID="{EF78F7FE-46B6-4519-A677-1A26775B35C4}">
  <ds:schemaRefs/>
</ds:datastoreItem>
</file>

<file path=customXml/itemProps6.xml><?xml version="1.0" encoding="utf-8"?>
<ds:datastoreItem xmlns:ds="http://schemas.openxmlformats.org/officeDocument/2006/customXml" ds:itemID="{EEC833F2-A587-4349-8D35-78EE1C1054E0}">
  <ds:schemaRefs/>
</ds:datastoreItem>
</file>

<file path=customXml/itemProps7.xml><?xml version="1.0" encoding="utf-8"?>
<ds:datastoreItem xmlns:ds="http://schemas.openxmlformats.org/officeDocument/2006/customXml" ds:itemID="{34E9A104-C464-4681-AE94-1DE45569066F}">
  <ds:schemaRefs/>
</ds:datastoreItem>
</file>

<file path=customXml/itemProps8.xml><?xml version="1.0" encoding="utf-8"?>
<ds:datastoreItem xmlns:ds="http://schemas.openxmlformats.org/officeDocument/2006/customXml" ds:itemID="{56AF9C98-6830-417B-B528-807DCECA7AF0}">
  <ds:schemaRefs/>
</ds:datastoreItem>
</file>

<file path=customXml/itemProps9.xml><?xml version="1.0" encoding="utf-8"?>
<ds:datastoreItem xmlns:ds="http://schemas.openxmlformats.org/officeDocument/2006/customXml" ds:itemID="{A040C06B-CCFA-4974-9875-4C85ED45B344}">
  <ds:schemaRefs>
    <ds:schemaRef ds:uri="http://schemas.microsoft.com/DataMashup"/>
  </ds:schemaRefs>
</ds:datastoreItem>
</file>

<file path=customXml/itemProps10.xml><?xml version="1.0" encoding="utf-8"?>
<ds:datastoreItem xmlns:ds="http://schemas.openxmlformats.org/officeDocument/2006/customXml" ds:itemID="{7C916B20-B045-4BE3-BE7C-36AB17506E9C}">
  <ds:schemaRefs/>
</ds:datastoreItem>
</file>

<file path=customXml/itemProps11.xml><?xml version="1.0" encoding="utf-8"?>
<ds:datastoreItem xmlns:ds="http://schemas.openxmlformats.org/officeDocument/2006/customXml" ds:itemID="{6A87186A-0E82-4DB5-A29A-E291CC5ED89A}">
  <ds:schemaRefs/>
</ds:datastoreItem>
</file>

<file path=customXml/itemProps12.xml><?xml version="1.0" encoding="utf-8"?>
<ds:datastoreItem xmlns:ds="http://schemas.openxmlformats.org/officeDocument/2006/customXml" ds:itemID="{C05659DA-3011-4145-A642-11C283C42DE5}">
  <ds:schemaRefs/>
</ds:datastoreItem>
</file>

<file path=customXml/itemProps13.xml><?xml version="1.0" encoding="utf-8"?>
<ds:datastoreItem xmlns:ds="http://schemas.openxmlformats.org/officeDocument/2006/customXml" ds:itemID="{6AE6D4D0-9656-4C5F-B273-70AE2EDFF82B}">
  <ds:schemaRefs/>
</ds:datastoreItem>
</file>

<file path=customXml/itemProps14.xml><?xml version="1.0" encoding="utf-8"?>
<ds:datastoreItem xmlns:ds="http://schemas.openxmlformats.org/officeDocument/2006/customXml" ds:itemID="{E217CF4C-3005-4571-AC6D-7E7E7CB8D854}">
  <ds:schemaRefs/>
</ds:datastoreItem>
</file>

<file path=customXml/itemProps15.xml><?xml version="1.0" encoding="utf-8"?>
<ds:datastoreItem xmlns:ds="http://schemas.openxmlformats.org/officeDocument/2006/customXml" ds:itemID="{829D6BBF-E436-401D-8B80-881811DD969C}">
  <ds:schemaRefs/>
</ds:datastoreItem>
</file>

<file path=customXml/itemProps16.xml><?xml version="1.0" encoding="utf-8"?>
<ds:datastoreItem xmlns:ds="http://schemas.openxmlformats.org/officeDocument/2006/customXml" ds:itemID="{82AEE3A4-92AF-435A-96FD-FC754B257082}">
  <ds:schemaRefs/>
</ds:datastoreItem>
</file>

<file path=customXml/itemProps17.xml><?xml version="1.0" encoding="utf-8"?>
<ds:datastoreItem xmlns:ds="http://schemas.openxmlformats.org/officeDocument/2006/customXml" ds:itemID="{7FDEC411-67DE-4132-9415-59A0C64BACB1}">
  <ds:schemaRefs/>
</ds:datastoreItem>
</file>

<file path=customXml/itemProps18.xml><?xml version="1.0" encoding="utf-8"?>
<ds:datastoreItem xmlns:ds="http://schemas.openxmlformats.org/officeDocument/2006/customXml" ds:itemID="{26961B36-D322-4284-B81F-30089507F13A}">
  <ds:schemaRefs/>
</ds:datastoreItem>
</file>

<file path=customXml/itemProps19.xml><?xml version="1.0" encoding="utf-8"?>
<ds:datastoreItem xmlns:ds="http://schemas.openxmlformats.org/officeDocument/2006/customXml" ds:itemID="{8C2161C0-C3DC-45BE-AE7C-CDF822C59F5A}">
  <ds:schemaRefs/>
</ds:datastoreItem>
</file>

<file path=customXml/itemProps20.xml><?xml version="1.0" encoding="utf-8"?>
<ds:datastoreItem xmlns:ds="http://schemas.openxmlformats.org/officeDocument/2006/customXml" ds:itemID="{49BBDCB3-BF0C-4A5D-9C63-5A029DF8629E}">
  <ds:schemaRefs/>
</ds:datastoreItem>
</file>

<file path=customXml/itemProps21.xml><?xml version="1.0" encoding="utf-8"?>
<ds:datastoreItem xmlns:ds="http://schemas.openxmlformats.org/officeDocument/2006/customXml" ds:itemID="{ECA37090-8A34-496C-B105-D6C26181A7B9}">
  <ds:schemaRefs/>
</ds:datastoreItem>
</file>

<file path=customXml/itemProps22.xml><?xml version="1.0" encoding="utf-8"?>
<ds:datastoreItem xmlns:ds="http://schemas.openxmlformats.org/officeDocument/2006/customXml" ds:itemID="{B048A371-67C7-4A17-B0D4-C8E451E0BC51}">
  <ds:schemaRefs/>
</ds:datastoreItem>
</file>

<file path=customXml/itemProps23.xml><?xml version="1.0" encoding="utf-8"?>
<ds:datastoreItem xmlns:ds="http://schemas.openxmlformats.org/officeDocument/2006/customXml" ds:itemID="{C44328CC-5C59-498B-8AE3-FA51BA0A8F99}">
  <ds:schemaRefs/>
</ds:datastoreItem>
</file>

<file path=customXml/itemProps24.xml><?xml version="1.0" encoding="utf-8"?>
<ds:datastoreItem xmlns:ds="http://schemas.openxmlformats.org/officeDocument/2006/customXml" ds:itemID="{C923897D-EAE5-427C-947B-7A43AD975B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customer_revenue_db sales_data</vt:lpstr>
      <vt:lpstr>Pivot Table</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Shradha Pol</dc:creator>
  <cp:lastModifiedBy>Shradha Pol</cp:lastModifiedBy>
  <dcterms:created xsi:type="dcterms:W3CDTF">2026-02-07T11:09:31Z</dcterms:created>
  <dcterms:modified xsi:type="dcterms:W3CDTF">2026-03-30T17:07:37Z</dcterms:modified>
</cp:coreProperties>
</file>